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comments6.xml" ContentType="application/vnd.openxmlformats-officedocument.spreadsheetml.comment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6.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omments11.xml" ContentType="application/vnd.openxmlformats-officedocument.spreadsheetml.comments+xml"/>
  <Override PartName="/xl/drawings/drawing9.xml" ContentType="application/vnd.openxmlformats-officedocument.drawing+xml"/>
  <Override PartName="/xl/comments12.xml" ContentType="application/vnd.openxmlformats-officedocument.spreadsheetml.comments+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omments13.xml" ContentType="application/vnd.openxmlformats-officedocument.spreadsheetml.comments+xml"/>
  <Override PartName="/xl/drawings/drawing10.xml" ContentType="application/vnd.openxmlformats-officedocument.drawing+xml"/>
  <Override PartName="/xl/drawings/drawing11.xml" ContentType="application/vnd.openxmlformats-officedocument.drawing+xml"/>
  <Override PartName="/xl/comments1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C:\Users\conor\OneDrive\Desktop\ReposGoHere\PublicRepos\My_Modules\monte_carlo\CMI_Conversion\"/>
    </mc:Choice>
  </mc:AlternateContent>
  <xr:revisionPtr revIDLastSave="61" documentId="8_{23E84B32-FDF9-4329-8886-186B4DA857B4}" xr6:coauthVersionLast="40" xr6:coauthVersionMax="40" xr10:uidLastSave="{A7B6AB0C-827A-4AAA-BC28-2E8C920BC6D1}"/>
  <bookViews>
    <workbookView xWindow="0" yWindow="0" windowWidth="19200" windowHeight="6945" tabRatio="866" activeTab="3" xr2:uid="{00000000-000D-0000-FFFF-FFFF00000000}"/>
  </bookViews>
  <sheets>
    <sheet name="Table of Contents" sheetId="52" r:id="rId1"/>
    <sheet name="Reporting Data" sheetId="17" r:id="rId2"/>
    <sheet name="GR&amp;A" sheetId="50" r:id="rId3"/>
    <sheet name="Predictions" sheetId="48" r:id="rId4"/>
    <sheet name="Valuation" sheetId="51" r:id="rId5"/>
    <sheet name="Income Statement (Y)" sheetId="7" r:id="rId6"/>
    <sheet name="Balance Sheet (Y)" sheetId="8" r:id="rId7"/>
    <sheet name="Cash Flow (Y)" sheetId="9" r:id="rId8"/>
    <sheet name="Equity (Y)" sheetId="10" r:id="rId9"/>
    <sheet name="Segment Earnings" sheetId="28" r:id="rId10"/>
    <sheet name="Unit Sales" sheetId="40" r:id="rId11"/>
    <sheet name="Financing" sheetId="54" r:id="rId12"/>
    <sheet name="Misc data" sheetId="27" r:id="rId13"/>
    <sheet name="N2 Income Tax" sheetId="37" r:id="rId14"/>
    <sheet name="N3 Equity Investments" sheetId="38" r:id="rId15"/>
    <sheet name="N4 Mkt Securities" sheetId="44" r:id="rId16"/>
    <sheet name="N8 Warranties" sheetId="33" r:id="rId17"/>
    <sheet name="N7 Goodwill" sheetId="34" r:id="rId18"/>
    <sheet name="N9 Debt" sheetId="31" r:id="rId19"/>
    <sheet name="N10 Pension" sheetId="36" r:id="rId20"/>
    <sheet name="N1 O. Liab. and def Rev" sheetId="39" r:id="rId21"/>
    <sheet name="N13 Sh Eq" sheetId="45" r:id="rId22"/>
    <sheet name="N14 OCI" sheetId="46" r:id="rId23"/>
    <sheet name="N15 Stock" sheetId="42" r:id="rId24"/>
    <sheet name="N17 EPS" sheetId="49" r:id="rId25"/>
    <sheet name="N21 Op Segs" sheetId="43" r:id="rId26"/>
    <sheet name="N18 Acquisitions" sheetId="41" r:id="rId27"/>
    <sheet name="Additional Commentary" sheetId="53" r:id="rId28"/>
    <sheet name="Analyst Coverage" sheetId="26" r:id="rId29"/>
    <sheet name="Ratios" sheetId="25" r:id="rId30"/>
    <sheet name="10k Key Ratios" sheetId="29" r:id="rId31"/>
  </sheets>
  <functionGroups builtInGroupCount="19"/>
  <definedNames>
    <definedName name="k">1000</definedName>
    <definedName name="M">1000*1000</definedName>
    <definedName name="Scen_Customers">Predictions!$C$149</definedName>
    <definedName name="Scen_EngSegSales">Predictions!$C$197</definedName>
    <definedName name="Scen_ExRates">Predictions!$C$89</definedName>
    <definedName name="solver_adj" localSheetId="12" hidden="1">'Misc data'!$S$63</definedName>
    <definedName name="solver_cvg" localSheetId="12" hidden="1">0.0001</definedName>
    <definedName name="solver_drv" localSheetId="12" hidden="1">1</definedName>
    <definedName name="solver_eng" localSheetId="12" hidden="1">1</definedName>
    <definedName name="solver_est" localSheetId="12" hidden="1">1</definedName>
    <definedName name="solver_itr" localSheetId="12" hidden="1">2147483647</definedName>
    <definedName name="solver_mip" localSheetId="12" hidden="1">2147483647</definedName>
    <definedName name="solver_mni" localSheetId="12" hidden="1">30</definedName>
    <definedName name="solver_mrt" localSheetId="12" hidden="1">0.075</definedName>
    <definedName name="solver_msl" localSheetId="12" hidden="1">2</definedName>
    <definedName name="solver_neg" localSheetId="12" hidden="1">1</definedName>
    <definedName name="solver_nod" localSheetId="12" hidden="1">2147483647</definedName>
    <definedName name="solver_num" localSheetId="12" hidden="1">0</definedName>
    <definedName name="solver_nwt" localSheetId="12" hidden="1">1</definedName>
    <definedName name="solver_opt" localSheetId="12" hidden="1">'Misc data'!$S$67</definedName>
    <definedName name="solver_pre" localSheetId="12" hidden="1">0.000001</definedName>
    <definedName name="solver_rbv" localSheetId="12" hidden="1">1</definedName>
    <definedName name="solver_rlx" localSheetId="12" hidden="1">2</definedName>
    <definedName name="solver_rsd" localSheetId="12" hidden="1">0</definedName>
    <definedName name="solver_scl" localSheetId="12" hidden="1">1</definedName>
    <definedName name="solver_sho" localSheetId="12" hidden="1">2</definedName>
    <definedName name="solver_ssz" localSheetId="12" hidden="1">100</definedName>
    <definedName name="solver_tim" localSheetId="12" hidden="1">2147483647</definedName>
    <definedName name="solver_tol" localSheetId="12" hidden="1">0.01</definedName>
    <definedName name="solver_typ" localSheetId="12" hidden="1">3</definedName>
    <definedName name="solver_val" localSheetId="12" hidden="1">0</definedName>
    <definedName name="solver_ver" localSheetId="12"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22" i="50" l="1"/>
  <c r="I236" i="27" l="1"/>
  <c r="H236" i="27" s="1"/>
  <c r="G236" i="27" s="1"/>
  <c r="F236" i="27" s="1"/>
  <c r="E236" i="27" s="1"/>
  <c r="I235" i="27"/>
  <c r="H235" i="27" s="1"/>
  <c r="G235" i="27" s="1"/>
  <c r="F235" i="27" s="1"/>
  <c r="E235" i="27" s="1"/>
  <c r="I234" i="27"/>
  <c r="H234" i="27" s="1"/>
  <c r="G234" i="27" s="1"/>
  <c r="F234" i="27" s="1"/>
  <c r="E234" i="27" s="1"/>
  <c r="I233" i="27"/>
  <c r="H233" i="27" s="1"/>
  <c r="G233" i="27" s="1"/>
  <c r="F233" i="27" s="1"/>
  <c r="E233" i="27" s="1"/>
  <c r="L235" i="27" l="1"/>
  <c r="K235" i="27"/>
  <c r="K233" i="27"/>
  <c r="L236" i="27"/>
  <c r="L234" i="27"/>
  <c r="L233" i="27"/>
  <c r="K236" i="27"/>
  <c r="K234" i="27"/>
  <c r="A2" i="9"/>
  <c r="W9" i="17" l="1"/>
  <c r="W10" i="17"/>
  <c r="W8" i="17"/>
  <c r="W7" i="17"/>
  <c r="S9" i="17"/>
  <c r="S8" i="17"/>
  <c r="S7" i="17"/>
  <c r="W5" i="17"/>
  <c r="U5" i="17"/>
  <c r="S5" i="17"/>
  <c r="Q133" i="27"/>
  <c r="P133" i="27"/>
  <c r="O133" i="27"/>
  <c r="N133" i="27"/>
  <c r="M133" i="27"/>
  <c r="L133" i="27"/>
  <c r="Q132" i="27"/>
  <c r="P132" i="27"/>
  <c r="O132" i="27"/>
  <c r="N132" i="27"/>
  <c r="M132" i="27"/>
  <c r="L132" i="27"/>
  <c r="Q131" i="27"/>
  <c r="P131" i="27"/>
  <c r="O131" i="27"/>
  <c r="N131" i="27"/>
  <c r="M131" i="27"/>
  <c r="L131" i="27"/>
  <c r="Q130" i="27"/>
  <c r="P130" i="27"/>
  <c r="O130" i="27"/>
  <c r="N130" i="27"/>
  <c r="M130" i="27"/>
  <c r="L130" i="27"/>
  <c r="Q129" i="27"/>
  <c r="P129" i="27"/>
  <c r="O129" i="27"/>
  <c r="N129" i="27"/>
  <c r="M129" i="27"/>
  <c r="L129" i="27"/>
  <c r="Q128" i="27"/>
  <c r="P128" i="27"/>
  <c r="O128" i="27"/>
  <c r="N128" i="27"/>
  <c r="M128" i="27"/>
  <c r="L128" i="27"/>
  <c r="Q127" i="27"/>
  <c r="P127" i="27"/>
  <c r="O127" i="27"/>
  <c r="N127" i="27"/>
  <c r="M127" i="27"/>
  <c r="L127" i="27"/>
  <c r="Q126" i="27"/>
  <c r="P126" i="27"/>
  <c r="O126" i="27"/>
  <c r="N126" i="27"/>
  <c r="M126" i="27"/>
  <c r="L126" i="27"/>
  <c r="Q124" i="27"/>
  <c r="P124" i="27"/>
  <c r="O124" i="27"/>
  <c r="N124" i="27"/>
  <c r="M124" i="27"/>
  <c r="L124" i="27"/>
  <c r="Q123" i="27"/>
  <c r="P123" i="27"/>
  <c r="O123" i="27"/>
  <c r="N123" i="27"/>
  <c r="M123" i="27"/>
  <c r="L123" i="27"/>
  <c r="Q122" i="27"/>
  <c r="P122" i="27"/>
  <c r="O122" i="27"/>
  <c r="N122" i="27"/>
  <c r="M122" i="27"/>
  <c r="L122" i="27"/>
  <c r="Q121" i="27"/>
  <c r="P121" i="27"/>
  <c r="O121" i="27"/>
  <c r="N121" i="27"/>
  <c r="M121" i="27"/>
  <c r="L121" i="27"/>
  <c r="Q120" i="27"/>
  <c r="P120" i="27"/>
  <c r="O120" i="27"/>
  <c r="N120" i="27"/>
  <c r="M120" i="27"/>
  <c r="L120" i="27"/>
  <c r="Q118" i="27"/>
  <c r="P118" i="27"/>
  <c r="O118" i="27"/>
  <c r="N118" i="27"/>
  <c r="M118" i="27"/>
  <c r="L118" i="27"/>
  <c r="Q117" i="27"/>
  <c r="P117" i="27"/>
  <c r="O117" i="27"/>
  <c r="N117" i="27"/>
  <c r="M117" i="27"/>
  <c r="L117" i="27"/>
  <c r="Q116" i="27"/>
  <c r="P116" i="27"/>
  <c r="O116" i="27"/>
  <c r="N116" i="27"/>
  <c r="M116" i="27"/>
  <c r="L116" i="27"/>
  <c r="Q114" i="27"/>
  <c r="P114" i="27"/>
  <c r="O114" i="27"/>
  <c r="N114" i="27"/>
  <c r="M114" i="27"/>
  <c r="L114" i="27"/>
  <c r="Q113" i="27"/>
  <c r="P113" i="27"/>
  <c r="O113" i="27"/>
  <c r="N113" i="27"/>
  <c r="M113" i="27"/>
  <c r="L113" i="27"/>
  <c r="I193" i="27"/>
  <c r="H193" i="27" s="1"/>
  <c r="G193" i="27" s="1"/>
  <c r="F193" i="27" s="1"/>
  <c r="E193" i="27" s="1"/>
  <c r="L193" i="27" s="1"/>
  <c r="I192" i="27"/>
  <c r="H192" i="27" s="1"/>
  <c r="G192" i="27" s="1"/>
  <c r="F192" i="27" s="1"/>
  <c r="E192" i="27" s="1"/>
  <c r="L192" i="27" s="1"/>
  <c r="I191" i="27"/>
  <c r="H191" i="27" s="1"/>
  <c r="G191" i="27" s="1"/>
  <c r="F191" i="27" s="1"/>
  <c r="E191" i="27" s="1"/>
  <c r="L191" i="27" s="1"/>
  <c r="I190" i="27"/>
  <c r="H190" i="27" s="1"/>
  <c r="G190" i="27" s="1"/>
  <c r="F190" i="27" s="1"/>
  <c r="E190" i="27" s="1"/>
  <c r="L190" i="27" s="1"/>
  <c r="I189" i="27"/>
  <c r="H189" i="27" s="1"/>
  <c r="G189" i="27" s="1"/>
  <c r="F189" i="27" s="1"/>
  <c r="E189" i="27" s="1"/>
  <c r="L189" i="27" s="1"/>
  <c r="I188" i="27"/>
  <c r="H188" i="27" s="1"/>
  <c r="G188" i="27" s="1"/>
  <c r="F188" i="27" s="1"/>
  <c r="E188" i="27" s="1"/>
  <c r="L188" i="27" s="1"/>
  <c r="I187" i="27"/>
  <c r="H187" i="27" s="1"/>
  <c r="G187" i="27" s="1"/>
  <c r="F187" i="27" s="1"/>
  <c r="E187" i="27" s="1"/>
  <c r="L187" i="27" s="1"/>
  <c r="I186" i="27"/>
  <c r="H186" i="27" s="1"/>
  <c r="G186" i="27" s="1"/>
  <c r="F186" i="27" s="1"/>
  <c r="E186" i="27" s="1"/>
  <c r="L186" i="27" s="1"/>
  <c r="I184" i="27"/>
  <c r="H184" i="27" s="1"/>
  <c r="G184" i="27" s="1"/>
  <c r="F184" i="27" s="1"/>
  <c r="E184" i="27" s="1"/>
  <c r="L184" i="27" s="1"/>
  <c r="I183" i="27"/>
  <c r="H183" i="27" s="1"/>
  <c r="G183" i="27" s="1"/>
  <c r="F183" i="27" s="1"/>
  <c r="E183" i="27" s="1"/>
  <c r="L183" i="27" s="1"/>
  <c r="I182" i="27"/>
  <c r="H182" i="27" s="1"/>
  <c r="G182" i="27" s="1"/>
  <c r="F182" i="27" s="1"/>
  <c r="E182" i="27" s="1"/>
  <c r="L182" i="27" s="1"/>
  <c r="I181" i="27"/>
  <c r="H181" i="27" s="1"/>
  <c r="G181" i="27" s="1"/>
  <c r="F181" i="27" s="1"/>
  <c r="E181" i="27" s="1"/>
  <c r="L181" i="27" s="1"/>
  <c r="I180" i="27"/>
  <c r="H180" i="27" s="1"/>
  <c r="G180" i="27" s="1"/>
  <c r="F180" i="27" s="1"/>
  <c r="E180" i="27" s="1"/>
  <c r="L180" i="27" s="1"/>
  <c r="I178" i="27"/>
  <c r="H178" i="27" s="1"/>
  <c r="G178" i="27" s="1"/>
  <c r="F178" i="27" s="1"/>
  <c r="E178" i="27" s="1"/>
  <c r="L178" i="27" s="1"/>
  <c r="I177" i="27"/>
  <c r="H177" i="27" s="1"/>
  <c r="G177" i="27" s="1"/>
  <c r="F177" i="27" s="1"/>
  <c r="E177" i="27" s="1"/>
  <c r="L177" i="27" s="1"/>
  <c r="I176" i="27"/>
  <c r="H176" i="27" s="1"/>
  <c r="G176" i="27" s="1"/>
  <c r="F176" i="27" s="1"/>
  <c r="E176" i="27" s="1"/>
  <c r="L176" i="27" s="1"/>
  <c r="I174" i="27"/>
  <c r="H174" i="27" s="1"/>
  <c r="G174" i="27" s="1"/>
  <c r="F174" i="27" s="1"/>
  <c r="E174" i="27" s="1"/>
  <c r="L174" i="27" s="1"/>
  <c r="I173" i="27"/>
  <c r="H173" i="27" s="1"/>
  <c r="G173" i="27" s="1"/>
  <c r="F173" i="27" s="1"/>
  <c r="E173" i="27" s="1"/>
  <c r="L173" i="27" s="1"/>
  <c r="K164" i="27"/>
  <c r="K163" i="27"/>
  <c r="K162" i="27"/>
  <c r="K161" i="27"/>
  <c r="K160" i="27"/>
  <c r="K159" i="27"/>
  <c r="K158" i="27"/>
  <c r="K157" i="27"/>
  <c r="K155" i="27"/>
  <c r="K154" i="27"/>
  <c r="K153" i="27"/>
  <c r="K152" i="27"/>
  <c r="K151" i="27"/>
  <c r="K149" i="27"/>
  <c r="K148" i="27"/>
  <c r="K147" i="27"/>
  <c r="K145" i="27"/>
  <c r="K144" i="27"/>
  <c r="S114" i="27" l="1"/>
  <c r="R114" i="27"/>
  <c r="R117" i="27"/>
  <c r="S117" i="27"/>
  <c r="S120" i="27"/>
  <c r="R120" i="27"/>
  <c r="S122" i="27"/>
  <c r="R122" i="27"/>
  <c r="S124" i="27"/>
  <c r="R124" i="27"/>
  <c r="R127" i="27"/>
  <c r="S127" i="27"/>
  <c r="S129" i="27"/>
  <c r="R129" i="27"/>
  <c r="R131" i="27"/>
  <c r="S131" i="27"/>
  <c r="S133" i="27"/>
  <c r="R133" i="27"/>
  <c r="R113" i="27"/>
  <c r="S113" i="27"/>
  <c r="S116" i="27"/>
  <c r="R116" i="27"/>
  <c r="R118" i="27"/>
  <c r="S118" i="27"/>
  <c r="S121" i="27"/>
  <c r="R121" i="27"/>
  <c r="S123" i="27"/>
  <c r="R123" i="27"/>
  <c r="S126" i="27"/>
  <c r="R126" i="27"/>
  <c r="S128" i="27"/>
  <c r="R128" i="27"/>
  <c r="R130" i="27"/>
  <c r="S130" i="27"/>
  <c r="R132" i="27"/>
  <c r="S132" i="27"/>
  <c r="K196" i="27"/>
  <c r="K201" i="27" s="1"/>
  <c r="I201" i="27" s="1"/>
  <c r="H201" i="27" s="1"/>
  <c r="G201" i="27" s="1"/>
  <c r="F201" i="27" s="1"/>
  <c r="E201" i="27" s="1"/>
  <c r="C193" i="28"/>
  <c r="D193" i="28"/>
  <c r="E193" i="28"/>
  <c r="C196" i="28"/>
  <c r="D196" i="28"/>
  <c r="E196" i="28"/>
  <c r="K220" i="27" l="1"/>
  <c r="I220" i="27" s="1"/>
  <c r="H220" i="27" s="1"/>
  <c r="G220" i="27" s="1"/>
  <c r="F220" i="27" s="1"/>
  <c r="E220" i="27" s="1"/>
  <c r="K216" i="27"/>
  <c r="I216" i="27" s="1"/>
  <c r="H216" i="27" s="1"/>
  <c r="G216" i="27" s="1"/>
  <c r="F216" i="27" s="1"/>
  <c r="E216" i="27" s="1"/>
  <c r="K211" i="27"/>
  <c r="I211" i="27" s="1"/>
  <c r="H211" i="27" s="1"/>
  <c r="G211" i="27" s="1"/>
  <c r="F211" i="27" s="1"/>
  <c r="E211" i="27" s="1"/>
  <c r="K206" i="27"/>
  <c r="I206" i="27" s="1"/>
  <c r="H206" i="27" s="1"/>
  <c r="G206" i="27" s="1"/>
  <c r="F206" i="27" s="1"/>
  <c r="E206" i="27" s="1"/>
  <c r="K221" i="27"/>
  <c r="I221" i="27" s="1"/>
  <c r="H221" i="27" s="1"/>
  <c r="G221" i="27" s="1"/>
  <c r="F221" i="27" s="1"/>
  <c r="E221" i="27" s="1"/>
  <c r="K212" i="27"/>
  <c r="I212" i="27" s="1"/>
  <c r="H212" i="27" s="1"/>
  <c r="G212" i="27" s="1"/>
  <c r="F212" i="27" s="1"/>
  <c r="E212" i="27" s="1"/>
  <c r="K202" i="27"/>
  <c r="I202" i="27" s="1"/>
  <c r="H202" i="27" s="1"/>
  <c r="G202" i="27" s="1"/>
  <c r="F202" i="27" s="1"/>
  <c r="E202" i="27" s="1"/>
  <c r="K219" i="27"/>
  <c r="I219" i="27" s="1"/>
  <c r="H219" i="27" s="1"/>
  <c r="G219" i="27" s="1"/>
  <c r="F219" i="27" s="1"/>
  <c r="E219" i="27" s="1"/>
  <c r="K215" i="27"/>
  <c r="I215" i="27" s="1"/>
  <c r="H215" i="27" s="1"/>
  <c r="G215" i="27" s="1"/>
  <c r="F215" i="27" s="1"/>
  <c r="E215" i="27" s="1"/>
  <c r="K210" i="27"/>
  <c r="I210" i="27" s="1"/>
  <c r="H210" i="27" s="1"/>
  <c r="G210" i="27" s="1"/>
  <c r="F210" i="27" s="1"/>
  <c r="E210" i="27" s="1"/>
  <c r="K205" i="27"/>
  <c r="I205" i="27" s="1"/>
  <c r="H205" i="27" s="1"/>
  <c r="G205" i="27" s="1"/>
  <c r="F205" i="27" s="1"/>
  <c r="E205" i="27" s="1"/>
  <c r="K218" i="27"/>
  <c r="I218" i="27" s="1"/>
  <c r="H218" i="27" s="1"/>
  <c r="G218" i="27" s="1"/>
  <c r="F218" i="27" s="1"/>
  <c r="E218" i="27" s="1"/>
  <c r="K214" i="27"/>
  <c r="I214" i="27" s="1"/>
  <c r="H214" i="27" s="1"/>
  <c r="G214" i="27" s="1"/>
  <c r="F214" i="27" s="1"/>
  <c r="E214" i="27" s="1"/>
  <c r="K209" i="27"/>
  <c r="I209" i="27" s="1"/>
  <c r="H209" i="27" s="1"/>
  <c r="G209" i="27" s="1"/>
  <c r="F209" i="27" s="1"/>
  <c r="E209" i="27" s="1"/>
  <c r="K204" i="27"/>
  <c r="I204" i="27" s="1"/>
  <c r="H204" i="27" s="1"/>
  <c r="G204" i="27" s="1"/>
  <c r="F204" i="27" s="1"/>
  <c r="E204" i="27" s="1"/>
  <c r="K217" i="27"/>
  <c r="I217" i="27" s="1"/>
  <c r="H217" i="27" s="1"/>
  <c r="G217" i="27" s="1"/>
  <c r="F217" i="27" s="1"/>
  <c r="E217" i="27" s="1"/>
  <c r="K208" i="27"/>
  <c r="I208" i="27" s="1"/>
  <c r="H208" i="27" s="1"/>
  <c r="G208" i="27" s="1"/>
  <c r="F208" i="27" s="1"/>
  <c r="E208" i="27" s="1"/>
  <c r="H101" i="48"/>
  <c r="I101" i="48"/>
  <c r="H102" i="48"/>
  <c r="I102" i="48"/>
  <c r="T129" i="48"/>
  <c r="T130" i="48"/>
  <c r="E110" i="27"/>
  <c r="G124" i="27"/>
  <c r="E133" i="27"/>
  <c r="E132" i="27" s="1"/>
  <c r="E131" i="27"/>
  <c r="E130" i="27"/>
  <c r="E129" i="27"/>
  <c r="E128" i="27"/>
  <c r="E127" i="27"/>
  <c r="E126" i="27"/>
  <c r="E124" i="27"/>
  <c r="E123" i="27"/>
  <c r="E122" i="27"/>
  <c r="E121" i="27"/>
  <c r="E120" i="27"/>
  <c r="E118" i="27"/>
  <c r="E117" i="27"/>
  <c r="E116" i="27"/>
  <c r="E114" i="27"/>
  <c r="E113" i="27"/>
  <c r="H130" i="48" l="1"/>
  <c r="H129" i="48"/>
  <c r="T128" i="48"/>
  <c r="T124" i="48" s="1"/>
  <c r="E115" i="27"/>
  <c r="E119" i="27"/>
  <c r="E125" i="27"/>
  <c r="E112" i="27"/>
  <c r="J164" i="48"/>
  <c r="K164" i="48"/>
  <c r="L164" i="48"/>
  <c r="S164" i="48" s="1"/>
  <c r="R164" i="48" s="1"/>
  <c r="J165" i="48"/>
  <c r="K165" i="48"/>
  <c r="L165" i="48"/>
  <c r="S165" i="48" s="1"/>
  <c r="J166" i="48"/>
  <c r="K166" i="48"/>
  <c r="L166" i="48"/>
  <c r="S166" i="48" s="1"/>
  <c r="L162" i="48"/>
  <c r="S163" i="48" s="1"/>
  <c r="K162" i="48"/>
  <c r="J162" i="48"/>
  <c r="M159" i="48"/>
  <c r="O158" i="48"/>
  <c r="O157" i="48"/>
  <c r="O156" i="48"/>
  <c r="O154" i="48"/>
  <c r="I158" i="48"/>
  <c r="I166" i="48" s="1"/>
  <c r="I157" i="48"/>
  <c r="I165" i="48" s="1"/>
  <c r="I156" i="48"/>
  <c r="I164" i="48" s="1"/>
  <c r="N159" i="48"/>
  <c r="L159" i="48"/>
  <c r="K159" i="48"/>
  <c r="J159" i="48"/>
  <c r="E155" i="48"/>
  <c r="D155" i="48"/>
  <c r="D156" i="48" s="1"/>
  <c r="C155" i="48"/>
  <c r="C158" i="48" s="1"/>
  <c r="E20" i="40"/>
  <c r="E30" i="40" s="1"/>
  <c r="D20" i="40"/>
  <c r="D30" i="40" s="1"/>
  <c r="C20" i="40"/>
  <c r="Q164" i="48" l="1"/>
  <c r="R163" i="48"/>
  <c r="Q163" i="48" s="1"/>
  <c r="R165" i="48"/>
  <c r="Q165" i="48" s="1"/>
  <c r="P165" i="48" s="1"/>
  <c r="P164" i="48"/>
  <c r="R166" i="48"/>
  <c r="Q166" i="48" s="1"/>
  <c r="P166" i="48" s="1"/>
  <c r="K167" i="48"/>
  <c r="E111" i="27"/>
  <c r="L167" i="48"/>
  <c r="T125" i="48"/>
  <c r="D158" i="48"/>
  <c r="O159" i="48"/>
  <c r="H156" i="48"/>
  <c r="H164" i="48" s="1"/>
  <c r="C157" i="48"/>
  <c r="E156" i="48"/>
  <c r="D157" i="48"/>
  <c r="E158" i="48"/>
  <c r="C156" i="48"/>
  <c r="E157" i="48"/>
  <c r="H157" i="48"/>
  <c r="H165" i="48" s="1"/>
  <c r="J167" i="48"/>
  <c r="H158" i="48"/>
  <c r="H166" i="48" s="1"/>
  <c r="I154" i="48"/>
  <c r="K29" i="40"/>
  <c r="K27" i="40"/>
  <c r="K21" i="40"/>
  <c r="K26" i="40"/>
  <c r="K22" i="40"/>
  <c r="K25" i="40"/>
  <c r="K23" i="40"/>
  <c r="K28" i="40"/>
  <c r="K24" i="40"/>
  <c r="L26" i="40"/>
  <c r="L22" i="40"/>
  <c r="L25" i="40"/>
  <c r="L23" i="40"/>
  <c r="L28" i="40"/>
  <c r="L24" i="40"/>
  <c r="L29" i="40"/>
  <c r="L27" i="40"/>
  <c r="L21" i="40"/>
  <c r="K20" i="40"/>
  <c r="L20" i="40"/>
  <c r="C30" i="40"/>
  <c r="I77" i="17" s="1"/>
  <c r="G5" i="40"/>
  <c r="F5" i="40"/>
  <c r="E5" i="40"/>
  <c r="E4" i="40" s="1"/>
  <c r="D5" i="40"/>
  <c r="D4" i="40" s="1"/>
  <c r="C5" i="40"/>
  <c r="C4" i="40" s="1"/>
  <c r="O166" i="48" l="1"/>
  <c r="O164" i="48"/>
  <c r="O165" i="48"/>
  <c r="I71" i="17"/>
  <c r="I70" i="17" s="1"/>
  <c r="I64" i="17"/>
  <c r="I73" i="17"/>
  <c r="I66" i="17"/>
  <c r="I67" i="17"/>
  <c r="I69" i="17"/>
  <c r="I72" i="17"/>
  <c r="I68" i="17"/>
  <c r="I74" i="17"/>
  <c r="E109" i="27"/>
  <c r="B111" i="27" s="1"/>
  <c r="I159" i="48"/>
  <c r="I167" i="48" s="1"/>
  <c r="I162" i="48"/>
  <c r="P163" i="48" s="1"/>
  <c r="H154" i="48"/>
  <c r="J28" i="40"/>
  <c r="J24" i="40"/>
  <c r="J29" i="40"/>
  <c r="J27" i="40"/>
  <c r="J21" i="40"/>
  <c r="J26" i="40"/>
  <c r="J22" i="40"/>
  <c r="J25" i="40"/>
  <c r="J23" i="40"/>
  <c r="J20" i="40"/>
  <c r="M25" i="17"/>
  <c r="N25" i="17"/>
  <c r="O25" i="17"/>
  <c r="I65" i="17" l="1"/>
  <c r="F119" i="27"/>
  <c r="F133" i="27"/>
  <c r="H133" i="27" s="1"/>
  <c r="F115" i="27"/>
  <c r="F124" i="27"/>
  <c r="H124" i="27" s="1"/>
  <c r="F130" i="27"/>
  <c r="H130" i="27" s="1"/>
  <c r="F125" i="27"/>
  <c r="F121" i="27"/>
  <c r="H121" i="27" s="1"/>
  <c r="F117" i="27"/>
  <c r="H117" i="27" s="1"/>
  <c r="F113" i="27"/>
  <c r="H113" i="27" s="1"/>
  <c r="F132" i="27"/>
  <c r="F126" i="27"/>
  <c r="H126" i="27" s="1"/>
  <c r="F127" i="27"/>
  <c r="H127" i="27" s="1"/>
  <c r="F120" i="27"/>
  <c r="H120" i="27" s="1"/>
  <c r="F129" i="27"/>
  <c r="H129" i="27" s="1"/>
  <c r="F110" i="27"/>
  <c r="H110" i="27" s="1"/>
  <c r="F116" i="27"/>
  <c r="H116" i="27" s="1"/>
  <c r="F112" i="27"/>
  <c r="F131" i="27"/>
  <c r="H131" i="27" s="1"/>
  <c r="F114" i="27"/>
  <c r="H114" i="27" s="1"/>
  <c r="F122" i="27"/>
  <c r="H122" i="27" s="1"/>
  <c r="F123" i="27"/>
  <c r="H123" i="27" s="1"/>
  <c r="F128" i="27"/>
  <c r="H128" i="27" s="1"/>
  <c r="F118" i="27"/>
  <c r="H118" i="27" s="1"/>
  <c r="H159" i="48"/>
  <c r="H167" i="48" s="1"/>
  <c r="H162" i="48"/>
  <c r="O163" i="48" s="1"/>
  <c r="C37" i="17"/>
  <c r="D59" i="17"/>
  <c r="C59" i="17"/>
  <c r="C58" i="17"/>
  <c r="C57" i="17"/>
  <c r="G9" i="51"/>
  <c r="F9" i="51" s="1"/>
  <c r="E9" i="51" s="1"/>
  <c r="D9" i="51" s="1"/>
  <c r="C9" i="51" s="1"/>
  <c r="L73" i="51"/>
  <c r="I75" i="51"/>
  <c r="J75" i="51"/>
  <c r="K75" i="51"/>
  <c r="L75" i="51"/>
  <c r="I76" i="51"/>
  <c r="J76" i="51"/>
  <c r="K76" i="51"/>
  <c r="L76" i="51"/>
  <c r="H75" i="51"/>
  <c r="H76" i="51"/>
  <c r="C38" i="51"/>
  <c r="D38" i="51"/>
  <c r="E38" i="51"/>
  <c r="F38" i="51"/>
  <c r="G38" i="51"/>
  <c r="H38" i="51"/>
  <c r="C15" i="17"/>
  <c r="C22" i="54"/>
  <c r="H109" i="27" l="1"/>
  <c r="I129" i="27" s="1"/>
  <c r="I116" i="27"/>
  <c r="I122" i="27"/>
  <c r="J122" i="27" s="1"/>
  <c r="Z122" i="27" s="1"/>
  <c r="Y122" i="27" s="1"/>
  <c r="X122" i="27" s="1"/>
  <c r="W122" i="27" s="1"/>
  <c r="V122" i="27" s="1"/>
  <c r="U122" i="27" s="1"/>
  <c r="I126" i="27"/>
  <c r="C4" i="17"/>
  <c r="C36" i="17" s="1"/>
  <c r="C7" i="17"/>
  <c r="C51" i="51"/>
  <c r="L5" i="51"/>
  <c r="K5" i="51"/>
  <c r="J5" i="51"/>
  <c r="I5" i="51"/>
  <c r="H5" i="51"/>
  <c r="O30" i="8"/>
  <c r="O29" i="8"/>
  <c r="O28" i="8"/>
  <c r="C130" i="28"/>
  <c r="D130" i="28"/>
  <c r="E130" i="28"/>
  <c r="F130" i="28"/>
  <c r="G130" i="28"/>
  <c r="I7" i="42"/>
  <c r="J7" i="42"/>
  <c r="K7" i="42"/>
  <c r="L7" i="42"/>
  <c r="N6" i="42"/>
  <c r="M6" i="42"/>
  <c r="F6" i="42" s="1"/>
  <c r="N22" i="42"/>
  <c r="M22" i="42"/>
  <c r="D22" i="42" s="1"/>
  <c r="N5" i="42"/>
  <c r="M5" i="42"/>
  <c r="F5" i="42" s="1"/>
  <c r="H7" i="42"/>
  <c r="F5" i="51" l="1"/>
  <c r="F7" i="42"/>
  <c r="E22" i="42"/>
  <c r="G22" i="42"/>
  <c r="C22" i="42"/>
  <c r="C5" i="42"/>
  <c r="C6" i="42"/>
  <c r="G6" i="42"/>
  <c r="F22" i="42"/>
  <c r="D5" i="42"/>
  <c r="D6" i="42"/>
  <c r="E5" i="42"/>
  <c r="E6" i="42"/>
  <c r="C13" i="42"/>
  <c r="I114" i="27"/>
  <c r="J114" i="27" s="1"/>
  <c r="Z114" i="27" s="1"/>
  <c r="Y114" i="27" s="1"/>
  <c r="X114" i="27" s="1"/>
  <c r="W114" i="27" s="1"/>
  <c r="V114" i="27" s="1"/>
  <c r="U114" i="27" s="1"/>
  <c r="G5" i="42"/>
  <c r="I131" i="27"/>
  <c r="I118" i="27"/>
  <c r="J118" i="27" s="1"/>
  <c r="Z118" i="27" s="1"/>
  <c r="Y118" i="27" s="1"/>
  <c r="X118" i="27" s="1"/>
  <c r="W118" i="27" s="1"/>
  <c r="V118" i="27" s="1"/>
  <c r="U118" i="27" s="1"/>
  <c r="I130" i="27"/>
  <c r="J130" i="27" s="1"/>
  <c r="Z130" i="27" s="1"/>
  <c r="Y130" i="27" s="1"/>
  <c r="X130" i="27" s="1"/>
  <c r="W130" i="27" s="1"/>
  <c r="V130" i="27" s="1"/>
  <c r="U130" i="27" s="1"/>
  <c r="I133" i="27"/>
  <c r="I132" i="27" s="1"/>
  <c r="I127" i="27"/>
  <c r="J127" i="27" s="1"/>
  <c r="Z127" i="27" s="1"/>
  <c r="Y127" i="27" s="1"/>
  <c r="X127" i="27" s="1"/>
  <c r="W127" i="27" s="1"/>
  <c r="V127" i="27" s="1"/>
  <c r="U127" i="27" s="1"/>
  <c r="I113" i="27"/>
  <c r="I110" i="27"/>
  <c r="J110" i="27" s="1"/>
  <c r="I121" i="27"/>
  <c r="J121" i="27" s="1"/>
  <c r="Z121" i="27" s="1"/>
  <c r="Y121" i="27" s="1"/>
  <c r="X121" i="27" s="1"/>
  <c r="W121" i="27" s="1"/>
  <c r="V121" i="27" s="1"/>
  <c r="U121" i="27" s="1"/>
  <c r="I120" i="27"/>
  <c r="I128" i="27"/>
  <c r="J128" i="27" s="1"/>
  <c r="Z128" i="27" s="1"/>
  <c r="Y128" i="27" s="1"/>
  <c r="X128" i="27" s="1"/>
  <c r="W128" i="27" s="1"/>
  <c r="V128" i="27" s="1"/>
  <c r="U128" i="27" s="1"/>
  <c r="I124" i="27"/>
  <c r="J124" i="27" s="1"/>
  <c r="Z124" i="27" s="1"/>
  <c r="Y124" i="27" s="1"/>
  <c r="X124" i="27" s="1"/>
  <c r="W124" i="27" s="1"/>
  <c r="V124" i="27" s="1"/>
  <c r="U124" i="27" s="1"/>
  <c r="I117" i="27"/>
  <c r="J117" i="27" s="1"/>
  <c r="Z117" i="27" s="1"/>
  <c r="Y117" i="27" s="1"/>
  <c r="X117" i="27" s="1"/>
  <c r="W117" i="27" s="1"/>
  <c r="V117" i="27" s="1"/>
  <c r="U117" i="27" s="1"/>
  <c r="I123" i="27"/>
  <c r="J123" i="27" s="1"/>
  <c r="Z123" i="27" s="1"/>
  <c r="Y123" i="27" s="1"/>
  <c r="X123" i="27" s="1"/>
  <c r="W123" i="27" s="1"/>
  <c r="V123" i="27" s="1"/>
  <c r="U123" i="27" s="1"/>
  <c r="I27" i="40"/>
  <c r="H27" i="40" s="1"/>
  <c r="J131" i="27"/>
  <c r="Z131" i="27" s="1"/>
  <c r="Y131" i="27" s="1"/>
  <c r="X131" i="27" s="1"/>
  <c r="W131" i="27" s="1"/>
  <c r="V131" i="27" s="1"/>
  <c r="U131" i="27" s="1"/>
  <c r="J73" i="17"/>
  <c r="I28" i="40"/>
  <c r="H28" i="40" s="1"/>
  <c r="J129" i="27"/>
  <c r="Z129" i="27" s="1"/>
  <c r="Y129" i="27" s="1"/>
  <c r="X129" i="27" s="1"/>
  <c r="W129" i="27" s="1"/>
  <c r="V129" i="27" s="1"/>
  <c r="U129" i="27" s="1"/>
  <c r="J71" i="17"/>
  <c r="I26" i="40"/>
  <c r="H26" i="40" s="1"/>
  <c r="J126" i="27"/>
  <c r="Z126" i="27" s="1"/>
  <c r="Y126" i="27" s="1"/>
  <c r="X126" i="27" s="1"/>
  <c r="W126" i="27" s="1"/>
  <c r="V126" i="27" s="1"/>
  <c r="U126" i="27" s="1"/>
  <c r="I112" i="27"/>
  <c r="F143" i="27" s="1"/>
  <c r="J113" i="27"/>
  <c r="Z113" i="27" s="1"/>
  <c r="J116" i="27"/>
  <c r="Z116" i="27" s="1"/>
  <c r="Y116" i="27" s="1"/>
  <c r="X116" i="27" s="1"/>
  <c r="W116" i="27" s="1"/>
  <c r="V116" i="27" s="1"/>
  <c r="U116" i="27" s="1"/>
  <c r="J120" i="27"/>
  <c r="Z120" i="27" s="1"/>
  <c r="Y120" i="27" s="1"/>
  <c r="X120" i="27" s="1"/>
  <c r="W120" i="27" s="1"/>
  <c r="V120" i="27" s="1"/>
  <c r="U120" i="27" s="1"/>
  <c r="H23" i="51"/>
  <c r="H55" i="51"/>
  <c r="L23" i="51"/>
  <c r="K23" i="51"/>
  <c r="I23" i="51"/>
  <c r="J23" i="51"/>
  <c r="B5" i="50"/>
  <c r="F13" i="50"/>
  <c r="M24" i="31"/>
  <c r="L24" i="31"/>
  <c r="L37" i="38"/>
  <c r="E37" i="38" s="1"/>
  <c r="L36" i="38"/>
  <c r="F36" i="38" s="1"/>
  <c r="A32" i="8"/>
  <c r="A24" i="8"/>
  <c r="A99" i="8"/>
  <c r="A69" i="8"/>
  <c r="A54" i="10"/>
  <c r="A11" i="7"/>
  <c r="A62" i="9"/>
  <c r="A52" i="8"/>
  <c r="A54" i="8"/>
  <c r="A95" i="8"/>
  <c r="A89" i="10"/>
  <c r="A46" i="8"/>
  <c r="A2" i="8"/>
  <c r="A22" i="7"/>
  <c r="A31" i="8"/>
  <c r="A48" i="9"/>
  <c r="A45" i="8"/>
  <c r="A76" i="8"/>
  <c r="A13" i="8"/>
  <c r="A41" i="8"/>
  <c r="A4" i="7"/>
  <c r="A30" i="9"/>
  <c r="A42" i="8"/>
  <c r="A14" i="9"/>
  <c r="A21" i="7"/>
  <c r="A23" i="7"/>
  <c r="A96" i="8"/>
  <c r="A22" i="9"/>
  <c r="A11" i="8"/>
  <c r="A50" i="8"/>
  <c r="A19" i="9"/>
  <c r="A7" i="7"/>
  <c r="A77" i="8"/>
  <c r="A20" i="9"/>
  <c r="A74" i="9"/>
  <c r="A50" i="9"/>
  <c r="A55" i="10"/>
  <c r="A15" i="7"/>
  <c r="A14" i="8"/>
  <c r="A71" i="10"/>
  <c r="A15" i="8"/>
  <c r="A93" i="10"/>
  <c r="A23" i="9"/>
  <c r="A65" i="10"/>
  <c r="A54" i="9"/>
  <c r="A87" i="8"/>
  <c r="A30" i="7"/>
  <c r="A18" i="7"/>
  <c r="A35" i="8"/>
  <c r="A3" i="9"/>
  <c r="A40" i="9"/>
  <c r="A72" i="10"/>
  <c r="A77" i="10"/>
  <c r="A84" i="8"/>
  <c r="A64" i="9"/>
  <c r="A34" i="9"/>
  <c r="A85" i="10"/>
  <c r="A7" i="9"/>
  <c r="A3" i="7"/>
  <c r="A79" i="10"/>
  <c r="A80" i="10"/>
  <c r="A33" i="9"/>
  <c r="A38" i="8"/>
  <c r="A4" i="9"/>
  <c r="A20" i="7"/>
  <c r="A35" i="9"/>
  <c r="A59" i="10"/>
  <c r="A55" i="9"/>
  <c r="A36" i="7"/>
  <c r="A35" i="7"/>
  <c r="A63" i="9"/>
  <c r="A27" i="9"/>
  <c r="A12" i="9"/>
  <c r="A5" i="9"/>
  <c r="A47" i="8"/>
  <c r="A64" i="8"/>
  <c r="A29" i="7"/>
  <c r="A80" i="8"/>
  <c r="A72" i="9"/>
  <c r="A60" i="9"/>
  <c r="A6" i="7"/>
  <c r="A101" i="8"/>
  <c r="A18" i="8"/>
  <c r="A67" i="10"/>
  <c r="A86" i="8"/>
  <c r="A46" i="9"/>
  <c r="A33" i="7"/>
  <c r="A56" i="9"/>
  <c r="A18" i="9"/>
  <c r="A8" i="9"/>
  <c r="A97" i="8"/>
  <c r="A25" i="8"/>
  <c r="A66" i="9"/>
  <c r="A83" i="8"/>
  <c r="A90" i="10"/>
  <c r="A10" i="8"/>
  <c r="A88" i="8"/>
  <c r="A87" i="10"/>
  <c r="A41" i="9"/>
  <c r="A83" i="10"/>
  <c r="A47" i="9"/>
  <c r="A97" i="10"/>
  <c r="A22" i="8"/>
  <c r="A6" i="9"/>
  <c r="A17" i="7"/>
  <c r="A28" i="7"/>
  <c r="A57" i="9"/>
  <c r="A68" i="10"/>
  <c r="A34" i="7"/>
  <c r="A25" i="9"/>
  <c r="A3" i="8"/>
  <c r="A49" i="9"/>
  <c r="A58" i="10"/>
  <c r="A56" i="10"/>
  <c r="A57" i="8"/>
  <c r="A26" i="8"/>
  <c r="A70" i="10"/>
  <c r="A29" i="9"/>
  <c r="A17" i="9"/>
  <c r="A15" i="9"/>
  <c r="A59" i="9"/>
  <c r="A8" i="8"/>
  <c r="A57" i="10"/>
  <c r="A81" i="8"/>
  <c r="A94" i="10"/>
  <c r="A56" i="8"/>
  <c r="A62" i="8"/>
  <c r="A89" i="8"/>
  <c r="A38" i="9"/>
  <c r="A82" i="10"/>
  <c r="A67" i="8"/>
  <c r="A85" i="8"/>
  <c r="A102" i="8"/>
  <c r="A100" i="8"/>
  <c r="A8" i="7"/>
  <c r="A95" i="10"/>
  <c r="A30" i="8"/>
  <c r="A48" i="8"/>
  <c r="A19" i="8"/>
  <c r="A25" i="7"/>
  <c r="A98" i="8"/>
  <c r="A84" i="10"/>
  <c r="A70" i="8"/>
  <c r="A73" i="8"/>
  <c r="A75" i="10"/>
  <c r="A10" i="7"/>
  <c r="A39" i="9"/>
  <c r="A29" i="8"/>
  <c r="A44" i="8"/>
  <c r="A36" i="9"/>
  <c r="A20" i="8"/>
  <c r="A9" i="9"/>
  <c r="A24" i="7"/>
  <c r="A10" i="9"/>
  <c r="A62" i="10"/>
  <c r="A37" i="9"/>
  <c r="A16" i="9"/>
  <c r="A69" i="9"/>
  <c r="A24" i="9"/>
  <c r="A40" i="8"/>
  <c r="A81" i="10"/>
  <c r="A13" i="9"/>
  <c r="A60" i="10"/>
  <c r="A4" i="8"/>
  <c r="A61" i="8"/>
  <c r="A72" i="8"/>
  <c r="A73" i="10"/>
  <c r="A32" i="7"/>
  <c r="A34" i="8"/>
  <c r="A76" i="10"/>
  <c r="A26" i="7"/>
  <c r="A86" i="10"/>
  <c r="A33" i="8"/>
  <c r="A68" i="9"/>
  <c r="A19" i="7"/>
  <c r="A58" i="8"/>
  <c r="A68" i="8"/>
  <c r="A78" i="8"/>
  <c r="A79" i="8"/>
  <c r="A13" i="7"/>
  <c r="A23" i="8"/>
  <c r="A98" i="10"/>
  <c r="A2" i="7"/>
  <c r="A74" i="10"/>
  <c r="A51" i="9"/>
  <c r="A6" i="8"/>
  <c r="A12" i="8"/>
  <c r="A88" i="10"/>
  <c r="A16" i="7"/>
  <c r="A28" i="8"/>
  <c r="A66" i="10"/>
  <c r="A103" i="8"/>
  <c r="A16" i="8"/>
  <c r="A71" i="8"/>
  <c r="A31" i="9"/>
  <c r="A91" i="10"/>
  <c r="A27" i="7"/>
  <c r="A37" i="8"/>
  <c r="A44" i="9"/>
  <c r="A60" i="8"/>
  <c r="A39" i="8"/>
  <c r="A51" i="8"/>
  <c r="A26" i="9"/>
  <c r="A61" i="10"/>
  <c r="A43" i="8"/>
  <c r="A36" i="8"/>
  <c r="A71" i="9"/>
  <c r="A9" i="7"/>
  <c r="A63" i="8"/>
  <c r="A28" i="9"/>
  <c r="A65" i="8"/>
  <c r="A92" i="10"/>
  <c r="A43" i="9"/>
  <c r="A61" i="9"/>
  <c r="A11" i="9"/>
  <c r="A52" i="9"/>
  <c r="A49" i="8"/>
  <c r="A7" i="8"/>
  <c r="A32" i="9"/>
  <c r="A78" i="10"/>
  <c r="A5" i="8"/>
  <c r="A73" i="9"/>
  <c r="A74" i="8"/>
  <c r="A96" i="10"/>
  <c r="A42" i="9"/>
  <c r="A5" i="7"/>
  <c r="A65" i="9"/>
  <c r="A91" i="8"/>
  <c r="A12" i="7"/>
  <c r="A82" i="8"/>
  <c r="A59" i="8"/>
  <c r="A14" i="7"/>
  <c r="A53" i="9"/>
  <c r="A27" i="8"/>
  <c r="A21" i="9"/>
  <c r="A69" i="10"/>
  <c r="A31" i="7"/>
  <c r="A9" i="8"/>
  <c r="A17" i="8"/>
  <c r="A75" i="8"/>
  <c r="A67" i="9"/>
  <c r="B37" i="38" l="1"/>
  <c r="J72" i="17"/>
  <c r="J70" i="17" s="1"/>
  <c r="F37" i="38"/>
  <c r="C36" i="38"/>
  <c r="D36" i="38"/>
  <c r="C37" i="38"/>
  <c r="E36" i="38"/>
  <c r="D37" i="38"/>
  <c r="D5" i="51"/>
  <c r="D7" i="42"/>
  <c r="C7" i="42"/>
  <c r="C5" i="51"/>
  <c r="G7" i="42"/>
  <c r="G5" i="51"/>
  <c r="E7" i="42"/>
  <c r="E5" i="51"/>
  <c r="B36" i="38"/>
  <c r="J133" i="27"/>
  <c r="Z133" i="27" s="1"/>
  <c r="Y133" i="27" s="1"/>
  <c r="X133" i="27" s="1"/>
  <c r="W133" i="27" s="1"/>
  <c r="V133" i="27" s="1"/>
  <c r="U133" i="27" s="1"/>
  <c r="I115" i="27"/>
  <c r="E146" i="27" s="1"/>
  <c r="J64" i="17"/>
  <c r="I119" i="27"/>
  <c r="I150" i="27" s="1"/>
  <c r="I21" i="40"/>
  <c r="H21" i="40" s="1"/>
  <c r="I125" i="27"/>
  <c r="H156" i="27" s="1"/>
  <c r="E143" i="27"/>
  <c r="H143" i="27"/>
  <c r="J143" i="27"/>
  <c r="J66" i="17"/>
  <c r="I22" i="40"/>
  <c r="H22" i="40" s="1"/>
  <c r="I143" i="27"/>
  <c r="J74" i="17"/>
  <c r="I29" i="40"/>
  <c r="H29" i="40" s="1"/>
  <c r="J67" i="17"/>
  <c r="J68" i="17"/>
  <c r="G143" i="27"/>
  <c r="B6" i="50"/>
  <c r="B7" i="50" s="1"/>
  <c r="F14" i="50"/>
  <c r="Y113" i="27"/>
  <c r="Z110" i="27"/>
  <c r="G24" i="31"/>
  <c r="F24" i="31"/>
  <c r="E24" i="31"/>
  <c r="D24" i="31"/>
  <c r="C24" i="31"/>
  <c r="M22" i="31"/>
  <c r="M19" i="31"/>
  <c r="M13" i="31"/>
  <c r="M12" i="31"/>
  <c r="M11" i="31"/>
  <c r="L11" i="31"/>
  <c r="L40" i="36"/>
  <c r="K40" i="36"/>
  <c r="L39" i="36"/>
  <c r="K39" i="36"/>
  <c r="K8" i="38"/>
  <c r="K9" i="38"/>
  <c r="C9" i="38" s="1"/>
  <c r="K10" i="38"/>
  <c r="F10" i="38" s="1"/>
  <c r="K11" i="38"/>
  <c r="K12" i="38"/>
  <c r="L12" i="38"/>
  <c r="L11" i="38"/>
  <c r="F11" i="38" s="1"/>
  <c r="L10" i="38"/>
  <c r="L9" i="38"/>
  <c r="L8" i="38"/>
  <c r="L7" i="38"/>
  <c r="L6" i="38"/>
  <c r="L36" i="44"/>
  <c r="M36" i="44"/>
  <c r="M64" i="9"/>
  <c r="N64" i="9"/>
  <c r="M62" i="9"/>
  <c r="N62" i="9"/>
  <c r="N50" i="9"/>
  <c r="N14" i="9"/>
  <c r="L83" i="10"/>
  <c r="G83" i="10" s="1"/>
  <c r="L75" i="10"/>
  <c r="L71" i="10"/>
  <c r="F71" i="10" s="1"/>
  <c r="L74" i="10"/>
  <c r="M74" i="10"/>
  <c r="L54" i="8"/>
  <c r="M39" i="8"/>
  <c r="L39" i="8"/>
  <c r="L84" i="8"/>
  <c r="M84" i="8"/>
  <c r="M85" i="8"/>
  <c r="M64" i="8"/>
  <c r="M63" i="8"/>
  <c r="M62" i="8"/>
  <c r="M61" i="8"/>
  <c r="M54" i="8"/>
  <c r="M51" i="8"/>
  <c r="M48" i="8"/>
  <c r="M43" i="8"/>
  <c r="M42" i="8"/>
  <c r="M41" i="8"/>
  <c r="M28" i="8"/>
  <c r="M26" i="8"/>
  <c r="M25" i="8"/>
  <c r="M20" i="8"/>
  <c r="M18" i="8"/>
  <c r="K71" i="27"/>
  <c r="K64" i="27"/>
  <c r="F146" i="27" l="1"/>
  <c r="E9" i="38"/>
  <c r="D12" i="38"/>
  <c r="C10" i="38"/>
  <c r="Z111" i="27"/>
  <c r="I146" i="27"/>
  <c r="I230" i="27" s="1"/>
  <c r="H230" i="27" s="1"/>
  <c r="G230" i="27" s="1"/>
  <c r="G146" i="27"/>
  <c r="H146" i="27"/>
  <c r="F15" i="50"/>
  <c r="F16" i="50" s="1"/>
  <c r="D10" i="38"/>
  <c r="E11" i="38"/>
  <c r="B11" i="38"/>
  <c r="J146" i="27"/>
  <c r="I23" i="40"/>
  <c r="H23" i="40" s="1"/>
  <c r="E84" i="8"/>
  <c r="D9" i="38"/>
  <c r="C11" i="38"/>
  <c r="B12" i="38"/>
  <c r="F12" i="38"/>
  <c r="D64" i="9"/>
  <c r="B9" i="38"/>
  <c r="F9" i="38"/>
  <c r="E10" i="38"/>
  <c r="D11" i="38"/>
  <c r="C12" i="38"/>
  <c r="F8" i="38"/>
  <c r="G150" i="27"/>
  <c r="E12" i="38"/>
  <c r="B10" i="38"/>
  <c r="C39" i="36"/>
  <c r="J109" i="27"/>
  <c r="F150" i="27"/>
  <c r="H150" i="27"/>
  <c r="J150" i="27"/>
  <c r="I231" i="27" s="1"/>
  <c r="I24" i="40"/>
  <c r="H24" i="40" s="1"/>
  <c r="E150" i="27"/>
  <c r="I109" i="27"/>
  <c r="G156" i="27"/>
  <c r="J69" i="17"/>
  <c r="J65" i="17" s="1"/>
  <c r="F156" i="27"/>
  <c r="I25" i="40"/>
  <c r="H25" i="40" s="1"/>
  <c r="I156" i="27"/>
  <c r="I229" i="27"/>
  <c r="H229" i="27" s="1"/>
  <c r="G229" i="27" s="1"/>
  <c r="J156" i="27"/>
  <c r="E156" i="27"/>
  <c r="H231" i="27"/>
  <c r="G231" i="27" s="1"/>
  <c r="F84" i="8"/>
  <c r="C84" i="8"/>
  <c r="G84" i="8"/>
  <c r="D84" i="8"/>
  <c r="G54" i="8"/>
  <c r="F39" i="8"/>
  <c r="G39" i="8"/>
  <c r="C39" i="8"/>
  <c r="D39" i="8"/>
  <c r="E39" i="8"/>
  <c r="E62" i="9"/>
  <c r="C64" i="9"/>
  <c r="Y110" i="27"/>
  <c r="Z109" i="27"/>
  <c r="Z145" i="27"/>
  <c r="X113" i="27"/>
  <c r="Y111" i="27"/>
  <c r="F40" i="36"/>
  <c r="D39" i="36"/>
  <c r="C40" i="36"/>
  <c r="E39" i="36"/>
  <c r="D40" i="36"/>
  <c r="B39" i="36"/>
  <c r="F39" i="36"/>
  <c r="E40" i="36"/>
  <c r="B40" i="36"/>
  <c r="G64" i="9"/>
  <c r="G62" i="9"/>
  <c r="C62" i="9"/>
  <c r="F64" i="9"/>
  <c r="D62" i="9"/>
  <c r="F62" i="9"/>
  <c r="E64" i="9"/>
  <c r="E74" i="10"/>
  <c r="G74" i="10"/>
  <c r="C74" i="10"/>
  <c r="E11" i="31"/>
  <c r="D74" i="10"/>
  <c r="F74" i="10"/>
  <c r="D11" i="31"/>
  <c r="G11" i="31"/>
  <c r="C11" i="31"/>
  <c r="F11" i="31"/>
  <c r="C8" i="38"/>
  <c r="D8" i="38"/>
  <c r="E8" i="38"/>
  <c r="B8" i="38"/>
  <c r="E36" i="44"/>
  <c r="B36" i="44"/>
  <c r="F36" i="44"/>
  <c r="C36" i="44"/>
  <c r="D36" i="44"/>
  <c r="D71" i="10"/>
  <c r="E71" i="10"/>
  <c r="G71" i="10"/>
  <c r="C71" i="10"/>
  <c r="E83" i="10"/>
  <c r="D83" i="10"/>
  <c r="F83" i="10"/>
  <c r="C83" i="10"/>
  <c r="D54" i="8"/>
  <c r="E54" i="8"/>
  <c r="F54" i="8"/>
  <c r="C54" i="8"/>
  <c r="S64" i="27"/>
  <c r="S65" i="27" s="1"/>
  <c r="P84" i="27"/>
  <c r="H76" i="27"/>
  <c r="H75" i="27"/>
  <c r="H77" i="27"/>
  <c r="H88" i="27"/>
  <c r="H85" i="27"/>
  <c r="H81" i="27"/>
  <c r="H78" i="27"/>
  <c r="H79" i="27"/>
  <c r="K62" i="27"/>
  <c r="K67" i="27" s="1"/>
  <c r="F17" i="50" l="1"/>
  <c r="F18" i="50"/>
  <c r="I232" i="27"/>
  <c r="H232" i="27" s="1"/>
  <c r="G232" i="27" s="1"/>
  <c r="L232" i="27" s="1"/>
  <c r="F231" i="27"/>
  <c r="E231" i="27" s="1"/>
  <c r="K231" i="27"/>
  <c r="L231" i="27"/>
  <c r="F229" i="27"/>
  <c r="E229" i="27" s="1"/>
  <c r="K229" i="27"/>
  <c r="L229" i="27"/>
  <c r="F230" i="27"/>
  <c r="E230" i="27" s="1"/>
  <c r="K230" i="27"/>
  <c r="L230" i="27"/>
  <c r="Z146" i="27"/>
  <c r="Z149" i="27" s="1"/>
  <c r="Z148" i="27"/>
  <c r="X110" i="27"/>
  <c r="Y145" i="27"/>
  <c r="Y136" i="27"/>
  <c r="Y137" i="27"/>
  <c r="Y109" i="27"/>
  <c r="W113" i="27"/>
  <c r="X111" i="27"/>
  <c r="Q84" i="27"/>
  <c r="R84" i="27"/>
  <c r="P86" i="27" s="1"/>
  <c r="L62" i="27"/>
  <c r="O63" i="27"/>
  <c r="M22" i="7"/>
  <c r="N22" i="7"/>
  <c r="K232" i="27" l="1"/>
  <c r="F22" i="7"/>
  <c r="F20" i="50"/>
  <c r="F232" i="27"/>
  <c r="E232" i="27" s="1"/>
  <c r="F19" i="50"/>
  <c r="Y146" i="27"/>
  <c r="Y149" i="27" s="1"/>
  <c r="G109" i="48"/>
  <c r="Y140" i="27"/>
  <c r="W110" i="27"/>
  <c r="X145" i="27"/>
  <c r="X136" i="27"/>
  <c r="X137" i="27"/>
  <c r="X109" i="27"/>
  <c r="G140" i="48"/>
  <c r="Y141" i="27"/>
  <c r="V113" i="27"/>
  <c r="W111" i="27"/>
  <c r="Q86" i="27"/>
  <c r="M62" i="27"/>
  <c r="L67" i="27"/>
  <c r="M67" i="27" s="1"/>
  <c r="K69" i="27" s="1"/>
  <c r="K77" i="27" s="1"/>
  <c r="C22" i="7"/>
  <c r="E22" i="7"/>
  <c r="D22" i="7"/>
  <c r="G22" i="7"/>
  <c r="V99" i="28"/>
  <c r="U99" i="28"/>
  <c r="T99" i="28"/>
  <c r="S99" i="28"/>
  <c r="R99" i="28"/>
  <c r="V98" i="28"/>
  <c r="U98" i="28"/>
  <c r="T98" i="28"/>
  <c r="S98" i="28"/>
  <c r="R98" i="28"/>
  <c r="V97" i="28"/>
  <c r="U97" i="28"/>
  <c r="T97" i="28"/>
  <c r="S97" i="28"/>
  <c r="R97" i="28"/>
  <c r="AC96" i="28"/>
  <c r="AB96" i="28"/>
  <c r="AC95" i="28"/>
  <c r="AB95" i="28"/>
  <c r="AC94" i="28"/>
  <c r="AB94" i="28"/>
  <c r="AC93" i="28"/>
  <c r="AB93" i="28"/>
  <c r="AC91" i="28"/>
  <c r="AB91" i="28"/>
  <c r="AC90" i="28"/>
  <c r="AB90" i="28"/>
  <c r="V78" i="28"/>
  <c r="U78" i="28"/>
  <c r="T78" i="28"/>
  <c r="S78" i="28"/>
  <c r="R78" i="28"/>
  <c r="V77" i="28"/>
  <c r="U77" i="28"/>
  <c r="T77" i="28"/>
  <c r="S77" i="28"/>
  <c r="R77" i="28"/>
  <c r="U76" i="28"/>
  <c r="T76" i="28"/>
  <c r="S76" i="28"/>
  <c r="R76" i="28"/>
  <c r="V76" i="28"/>
  <c r="AC75" i="28"/>
  <c r="AB75" i="28"/>
  <c r="AC74" i="28"/>
  <c r="AB74" i="28"/>
  <c r="AC73" i="28"/>
  <c r="AB73" i="28"/>
  <c r="AC72" i="28"/>
  <c r="AB72" i="28"/>
  <c r="AC70" i="28"/>
  <c r="AB70" i="28"/>
  <c r="AC69" i="28"/>
  <c r="AB69" i="28"/>
  <c r="G99" i="28"/>
  <c r="F99" i="28"/>
  <c r="E99" i="28"/>
  <c r="D99" i="28"/>
  <c r="C99" i="28"/>
  <c r="G98" i="28"/>
  <c r="F98" i="28"/>
  <c r="E98" i="28"/>
  <c r="D98" i="28"/>
  <c r="C98" i="28"/>
  <c r="G97" i="28"/>
  <c r="F97" i="28"/>
  <c r="E97" i="28"/>
  <c r="D97" i="28"/>
  <c r="C97" i="28"/>
  <c r="M73" i="28"/>
  <c r="G78" i="28"/>
  <c r="F78" i="28"/>
  <c r="E78" i="28"/>
  <c r="D78" i="28"/>
  <c r="C78" i="28"/>
  <c r="G77" i="28"/>
  <c r="F77" i="28"/>
  <c r="E77" i="28"/>
  <c r="D77" i="28"/>
  <c r="C77" i="28"/>
  <c r="N96" i="28"/>
  <c r="M96" i="28"/>
  <c r="N95" i="28"/>
  <c r="M95" i="28"/>
  <c r="N94" i="28"/>
  <c r="M94" i="28"/>
  <c r="N93" i="28"/>
  <c r="M93" i="28"/>
  <c r="N91" i="28"/>
  <c r="M91" i="28"/>
  <c r="N90" i="28"/>
  <c r="M90" i="28"/>
  <c r="F76" i="28"/>
  <c r="E76" i="28"/>
  <c r="D76" i="28"/>
  <c r="C76" i="28"/>
  <c r="G76" i="28"/>
  <c r="N75" i="28"/>
  <c r="N74" i="28"/>
  <c r="N73" i="28"/>
  <c r="N72" i="28"/>
  <c r="N70" i="28"/>
  <c r="N69" i="28"/>
  <c r="M72" i="28"/>
  <c r="M74" i="28"/>
  <c r="M75" i="28"/>
  <c r="M70" i="28"/>
  <c r="M69" i="28"/>
  <c r="L38" i="48"/>
  <c r="L40" i="48" s="1"/>
  <c r="I38" i="48"/>
  <c r="I44" i="48" s="1"/>
  <c r="J38" i="48"/>
  <c r="J40" i="48" s="1"/>
  <c r="K38" i="48"/>
  <c r="K44" i="48" s="1"/>
  <c r="H38" i="48"/>
  <c r="H44" i="48" s="1"/>
  <c r="L48" i="48"/>
  <c r="L62" i="48"/>
  <c r="L63" i="48" s="1"/>
  <c r="F21" i="50" l="1"/>
  <c r="F22" i="50" s="1"/>
  <c r="Y148" i="27"/>
  <c r="E91" i="28"/>
  <c r="G94" i="28"/>
  <c r="E96" i="28"/>
  <c r="F69" i="28"/>
  <c r="G70" i="28"/>
  <c r="R69" i="28"/>
  <c r="T72" i="28"/>
  <c r="V74" i="28"/>
  <c r="V90" i="28"/>
  <c r="G69" i="28"/>
  <c r="E69" i="28"/>
  <c r="G202" i="48"/>
  <c r="F202" i="48" s="1"/>
  <c r="E202" i="48" s="1"/>
  <c r="D202" i="48" s="1"/>
  <c r="C202" i="48" s="1"/>
  <c r="U70" i="28"/>
  <c r="U91" i="28"/>
  <c r="D90" i="28"/>
  <c r="C69" i="28"/>
  <c r="G91" i="28"/>
  <c r="D91" i="28"/>
  <c r="T69" i="28"/>
  <c r="U69" i="28"/>
  <c r="T90" i="28"/>
  <c r="S90" i="28"/>
  <c r="D74" i="28"/>
  <c r="E72" i="28"/>
  <c r="G75" i="28"/>
  <c r="D95" i="28"/>
  <c r="U94" i="28"/>
  <c r="S96" i="28"/>
  <c r="F93" i="28"/>
  <c r="F75" i="28"/>
  <c r="F94" i="28"/>
  <c r="T93" i="28"/>
  <c r="V95" i="28"/>
  <c r="G203" i="48"/>
  <c r="F203" i="48" s="1"/>
  <c r="E203" i="48" s="1"/>
  <c r="D203" i="48" s="1"/>
  <c r="C203" i="48" s="1"/>
  <c r="G96" i="28"/>
  <c r="S74" i="28"/>
  <c r="D70" i="28"/>
  <c r="G74" i="28"/>
  <c r="S73" i="28"/>
  <c r="U75" i="28"/>
  <c r="V93" i="28"/>
  <c r="T95" i="28"/>
  <c r="S93" i="28"/>
  <c r="G204" i="48"/>
  <c r="F204" i="48" s="1"/>
  <c r="E204" i="48" s="1"/>
  <c r="D204" i="48" s="1"/>
  <c r="C204" i="48" s="1"/>
  <c r="U72" i="28"/>
  <c r="E94" i="28"/>
  <c r="D96" i="28"/>
  <c r="R72" i="28"/>
  <c r="T74" i="28"/>
  <c r="U95" i="28"/>
  <c r="V110" i="27"/>
  <c r="W136" i="27"/>
  <c r="W145" i="27"/>
  <c r="X146" i="27"/>
  <c r="X149" i="27" s="1"/>
  <c r="F109" i="48"/>
  <c r="X140" i="27"/>
  <c r="G136" i="48"/>
  <c r="S136" i="48" s="1"/>
  <c r="S109" i="48"/>
  <c r="S108" i="48" s="1"/>
  <c r="X141" i="27"/>
  <c r="F140" i="48"/>
  <c r="W137" i="27"/>
  <c r="W109" i="27"/>
  <c r="W146" i="27" s="1"/>
  <c r="S140" i="48"/>
  <c r="G113" i="48"/>
  <c r="U113" i="27"/>
  <c r="U111" i="27" s="1"/>
  <c r="V111" i="27"/>
  <c r="C74" i="28"/>
  <c r="E90" i="28"/>
  <c r="C93" i="28"/>
  <c r="E95" i="28"/>
  <c r="V70" i="28"/>
  <c r="T73" i="28"/>
  <c r="R75" i="28"/>
  <c r="V75" i="28"/>
  <c r="V91" i="28"/>
  <c r="V94" i="28"/>
  <c r="T96" i="28"/>
  <c r="D73" i="28"/>
  <c r="C94" i="28"/>
  <c r="V72" i="28"/>
  <c r="U73" i="28"/>
  <c r="S75" i="28"/>
  <c r="R95" i="28"/>
  <c r="C90" i="28"/>
  <c r="G90" i="28"/>
  <c r="F91" i="28"/>
  <c r="E93" i="28"/>
  <c r="D94" i="28"/>
  <c r="C95" i="28"/>
  <c r="G95" i="28"/>
  <c r="F96" i="28"/>
  <c r="S69" i="28"/>
  <c r="T70" i="28"/>
  <c r="S72" i="28"/>
  <c r="R73" i="28"/>
  <c r="V73" i="28"/>
  <c r="U74" i="28"/>
  <c r="T75" i="28"/>
  <c r="U90" i="28"/>
  <c r="T91" i="28"/>
  <c r="U93" i="28"/>
  <c r="T94" i="28"/>
  <c r="S95" i="28"/>
  <c r="R96" i="28"/>
  <c r="V96" i="28"/>
  <c r="S91" i="28"/>
  <c r="S92" i="28" s="1"/>
  <c r="G93" i="28"/>
  <c r="R70" i="28"/>
  <c r="R91" i="28"/>
  <c r="R94" i="28"/>
  <c r="F90" i="28"/>
  <c r="D93" i="28"/>
  <c r="F95" i="28"/>
  <c r="S70" i="28"/>
  <c r="S94" i="28"/>
  <c r="U96" i="28"/>
  <c r="F74" i="28"/>
  <c r="D69" i="28"/>
  <c r="E70" i="28"/>
  <c r="E75" i="28"/>
  <c r="C70" i="28"/>
  <c r="C75" i="28"/>
  <c r="C91" i="28"/>
  <c r="C96" i="28"/>
  <c r="V69" i="28"/>
  <c r="R74" i="28"/>
  <c r="R90" i="28"/>
  <c r="R93" i="28"/>
  <c r="I40" i="48"/>
  <c r="H39" i="48"/>
  <c r="I41" i="48"/>
  <c r="I39" i="48"/>
  <c r="I42" i="48"/>
  <c r="G73" i="28"/>
  <c r="G72" i="28"/>
  <c r="E73" i="28"/>
  <c r="F70" i="28"/>
  <c r="D72" i="28"/>
  <c r="C72" i="28"/>
  <c r="F73" i="28"/>
  <c r="E74" i="28"/>
  <c r="D75" i="28"/>
  <c r="F72" i="28"/>
  <c r="C73" i="28"/>
  <c r="L39" i="48"/>
  <c r="I43" i="48"/>
  <c r="J39" i="48"/>
  <c r="K39" i="48"/>
  <c r="J42" i="48"/>
  <c r="J43" i="48"/>
  <c r="K40" i="48"/>
  <c r="K41" i="48"/>
  <c r="K42" i="48"/>
  <c r="K43" i="48"/>
  <c r="J41" i="48"/>
  <c r="J44" i="48"/>
  <c r="H40" i="48"/>
  <c r="H41" i="48"/>
  <c r="H42" i="48"/>
  <c r="H43" i="48"/>
  <c r="L43" i="48"/>
  <c r="L42" i="48"/>
  <c r="L41" i="48"/>
  <c r="L44" i="48"/>
  <c r="L69" i="48"/>
  <c r="V92" i="28" l="1"/>
  <c r="T92" i="28"/>
  <c r="U92" i="28"/>
  <c r="R92" i="28"/>
  <c r="X148" i="27"/>
  <c r="W140" i="27"/>
  <c r="E109" i="48"/>
  <c r="F136" i="48"/>
  <c r="R136" i="48" s="1"/>
  <c r="R109" i="48"/>
  <c r="R108" i="48" s="1"/>
  <c r="U110" i="27"/>
  <c r="V136" i="27"/>
  <c r="V145" i="27"/>
  <c r="R140" i="48"/>
  <c r="F113" i="48"/>
  <c r="S139" i="48"/>
  <c r="S130" i="48" s="1"/>
  <c r="S113" i="48"/>
  <c r="S112" i="48" s="1"/>
  <c r="V109" i="27"/>
  <c r="V137" i="27"/>
  <c r="W148" i="27"/>
  <c r="W149" i="27"/>
  <c r="U137" i="27"/>
  <c r="E140" i="48"/>
  <c r="W141" i="27"/>
  <c r="I48" i="48"/>
  <c r="J48" i="48"/>
  <c r="K48" i="48"/>
  <c r="H48" i="48"/>
  <c r="H62" i="48"/>
  <c r="H63" i="48" s="1"/>
  <c r="I62" i="48"/>
  <c r="I63" i="48" s="1"/>
  <c r="J62" i="48"/>
  <c r="J63" i="48" s="1"/>
  <c r="K62" i="48"/>
  <c r="K63" i="48" s="1"/>
  <c r="G12" i="29"/>
  <c r="F12" i="29"/>
  <c r="V146" i="27" l="1"/>
  <c r="V148" i="27" s="1"/>
  <c r="U145" i="27"/>
  <c r="U136" i="27"/>
  <c r="U109" i="27"/>
  <c r="U146" i="27" s="1"/>
  <c r="U149" i="27" s="1"/>
  <c r="V140" i="27"/>
  <c r="D109" i="48"/>
  <c r="E136" i="48"/>
  <c r="Q136" i="48" s="1"/>
  <c r="Q109" i="48"/>
  <c r="Q108" i="48" s="1"/>
  <c r="Q140" i="48"/>
  <c r="E113" i="48"/>
  <c r="C140" i="48"/>
  <c r="U141" i="27"/>
  <c r="D140" i="48"/>
  <c r="V141" i="27"/>
  <c r="V149" i="27"/>
  <c r="R139" i="48"/>
  <c r="R130" i="48" s="1"/>
  <c r="R113" i="48"/>
  <c r="R112" i="48" s="1"/>
  <c r="C66" i="48"/>
  <c r="C64" i="48"/>
  <c r="C65" i="48"/>
  <c r="K69" i="48"/>
  <c r="K74" i="48" s="1"/>
  <c r="J69" i="48"/>
  <c r="I69" i="48"/>
  <c r="H69" i="48"/>
  <c r="K72" i="10"/>
  <c r="H72" i="10"/>
  <c r="I72" i="10"/>
  <c r="J72" i="10"/>
  <c r="K9" i="31"/>
  <c r="K15" i="31" s="1"/>
  <c r="J9" i="31"/>
  <c r="J76" i="8" s="1"/>
  <c r="I9" i="31"/>
  <c r="I76" i="8" s="1"/>
  <c r="H9" i="31"/>
  <c r="H15" i="31" s="1"/>
  <c r="L88" i="8"/>
  <c r="C88" i="8" s="1"/>
  <c r="L89" i="8"/>
  <c r="D89" i="8" s="1"/>
  <c r="G97" i="10"/>
  <c r="F97" i="10"/>
  <c r="E97" i="10"/>
  <c r="D97" i="10"/>
  <c r="C97" i="10"/>
  <c r="L98" i="10"/>
  <c r="D98" i="10" s="1"/>
  <c r="I93" i="10"/>
  <c r="J93" i="10"/>
  <c r="K93" i="10"/>
  <c r="H93" i="10"/>
  <c r="M36" i="7"/>
  <c r="G36" i="7" s="1"/>
  <c r="G75" i="10"/>
  <c r="F75" i="10"/>
  <c r="E75" i="10"/>
  <c r="D75" i="10"/>
  <c r="C75" i="10"/>
  <c r="G78" i="10"/>
  <c r="F78" i="10"/>
  <c r="E78" i="10"/>
  <c r="D78" i="10"/>
  <c r="C78" i="10"/>
  <c r="G82" i="10"/>
  <c r="F82" i="10"/>
  <c r="E82" i="10"/>
  <c r="D82" i="10"/>
  <c r="C82" i="10"/>
  <c r="H82" i="10"/>
  <c r="L81" i="10"/>
  <c r="L80" i="10"/>
  <c r="F80" i="10" s="1"/>
  <c r="L17" i="8"/>
  <c r="C17" i="8" s="1"/>
  <c r="K73" i="9"/>
  <c r="J73" i="9"/>
  <c r="I73" i="9"/>
  <c r="H73" i="9"/>
  <c r="M60" i="9"/>
  <c r="G60" i="9" s="1"/>
  <c r="F67" i="9"/>
  <c r="G67" i="9"/>
  <c r="F35" i="41"/>
  <c r="E35" i="41"/>
  <c r="E67" i="9" s="1"/>
  <c r="D35" i="41"/>
  <c r="D67" i="9" s="1"/>
  <c r="C35" i="41"/>
  <c r="C67" i="9" s="1"/>
  <c r="G35" i="41"/>
  <c r="M66" i="9"/>
  <c r="D66" i="9" s="1"/>
  <c r="D76" i="51" s="1"/>
  <c r="G93" i="10"/>
  <c r="M63" i="9"/>
  <c r="G63" i="9" s="1"/>
  <c r="M55" i="9"/>
  <c r="F55" i="9" s="1"/>
  <c r="M61" i="9"/>
  <c r="E61" i="9" s="1"/>
  <c r="G54" i="9"/>
  <c r="F54" i="9"/>
  <c r="E54" i="9"/>
  <c r="D54" i="9"/>
  <c r="C54" i="9"/>
  <c r="C53" i="9"/>
  <c r="D53" i="9"/>
  <c r="E53" i="9"/>
  <c r="F53" i="9"/>
  <c r="G53" i="9"/>
  <c r="M50" i="9"/>
  <c r="M14" i="9"/>
  <c r="M13" i="9"/>
  <c r="F13" i="9" s="1"/>
  <c r="M12" i="9"/>
  <c r="G12" i="9" s="1"/>
  <c r="M25" i="9"/>
  <c r="F25" i="9" s="1"/>
  <c r="M24" i="9"/>
  <c r="F24" i="9" s="1"/>
  <c r="E88" i="8" l="1"/>
  <c r="E98" i="10"/>
  <c r="C61" i="9"/>
  <c r="F36" i="7"/>
  <c r="F85" i="10" s="1"/>
  <c r="Q36" i="7"/>
  <c r="I21" i="50" s="1"/>
  <c r="J15" i="31"/>
  <c r="G89" i="8"/>
  <c r="E89" i="8"/>
  <c r="C89" i="8"/>
  <c r="G17" i="8"/>
  <c r="P17" i="8" s="1"/>
  <c r="I20" i="50" s="1"/>
  <c r="D17" i="8"/>
  <c r="F17" i="8"/>
  <c r="D12" i="9"/>
  <c r="D25" i="9"/>
  <c r="C13" i="9"/>
  <c r="U148" i="27"/>
  <c r="C109" i="48"/>
  <c r="U140" i="27"/>
  <c r="D136" i="48"/>
  <c r="P136" i="48" s="1"/>
  <c r="P109" i="48"/>
  <c r="P108" i="48" s="1"/>
  <c r="P140" i="48"/>
  <c r="D113" i="48"/>
  <c r="O140" i="48"/>
  <c r="O113" i="48" s="1"/>
  <c r="O112" i="48" s="1"/>
  <c r="C113" i="48"/>
  <c r="Q139" i="48"/>
  <c r="Q130" i="48" s="1"/>
  <c r="Q113" i="48"/>
  <c r="Q112" i="48" s="1"/>
  <c r="E80" i="10"/>
  <c r="C98" i="10"/>
  <c r="G25" i="9"/>
  <c r="D61" i="9"/>
  <c r="D63" i="9"/>
  <c r="E66" i="9"/>
  <c r="E76" i="51" s="1"/>
  <c r="C24" i="9"/>
  <c r="D13" i="9"/>
  <c r="F61" i="9"/>
  <c r="E63" i="9"/>
  <c r="C25" i="9"/>
  <c r="G13" i="9"/>
  <c r="G61" i="9"/>
  <c r="D14" i="9"/>
  <c r="E14" i="9"/>
  <c r="C14" i="9"/>
  <c r="G14" i="9"/>
  <c r="F14" i="9"/>
  <c r="F66" i="9"/>
  <c r="F76" i="51" s="1"/>
  <c r="E24" i="9"/>
  <c r="E25" i="9"/>
  <c r="F12" i="9"/>
  <c r="E13" i="9"/>
  <c r="C50" i="9"/>
  <c r="F50" i="9"/>
  <c r="G50" i="9"/>
  <c r="D50" i="9"/>
  <c r="E50" i="9"/>
  <c r="F63" i="9"/>
  <c r="C66" i="9"/>
  <c r="C76" i="51" s="1"/>
  <c r="G66" i="9"/>
  <c r="C60" i="9"/>
  <c r="E60" i="9"/>
  <c r="D24" i="9"/>
  <c r="E12" i="9"/>
  <c r="F60" i="9"/>
  <c r="G24" i="9"/>
  <c r="C12" i="9"/>
  <c r="C63" i="9"/>
  <c r="D60" i="9"/>
  <c r="G80" i="10"/>
  <c r="C80" i="10"/>
  <c r="G98" i="10"/>
  <c r="D80" i="10"/>
  <c r="G81" i="10"/>
  <c r="F81" i="10" s="1"/>
  <c r="E81" i="10" s="1"/>
  <c r="D81" i="10" s="1"/>
  <c r="C81" i="10" s="1"/>
  <c r="F98" i="10"/>
  <c r="I15" i="31"/>
  <c r="E17" i="8"/>
  <c r="F89" i="8"/>
  <c r="F88" i="8"/>
  <c r="G85" i="10"/>
  <c r="C63" i="48"/>
  <c r="G63" i="48"/>
  <c r="G43" i="48" s="1"/>
  <c r="F63" i="48"/>
  <c r="D63" i="48"/>
  <c r="E63" i="48"/>
  <c r="J74" i="48"/>
  <c r="C71" i="48"/>
  <c r="C70" i="48" s="1"/>
  <c r="G69" i="48" s="1"/>
  <c r="H74" i="48"/>
  <c r="I74" i="48"/>
  <c r="H76" i="8"/>
  <c r="K76" i="8"/>
  <c r="D88" i="8"/>
  <c r="G88" i="8"/>
  <c r="D55" i="9"/>
  <c r="C55" i="9"/>
  <c r="G55" i="9"/>
  <c r="E55" i="9"/>
  <c r="Q66" i="9" l="1"/>
  <c r="I19" i="50" s="1"/>
  <c r="G76" i="51"/>
  <c r="E36" i="7"/>
  <c r="E85" i="10" s="1"/>
  <c r="C136" i="48"/>
  <c r="O136" i="48" s="1"/>
  <c r="O109" i="48"/>
  <c r="O108" i="48" s="1"/>
  <c r="P139" i="48"/>
  <c r="P130" i="48" s="1"/>
  <c r="P113" i="48"/>
  <c r="P112" i="48" s="1"/>
  <c r="O139" i="48"/>
  <c r="F93" i="10"/>
  <c r="F69" i="48"/>
  <c r="G44" i="48"/>
  <c r="C72" i="48"/>
  <c r="F43" i="48"/>
  <c r="D36" i="7" l="1"/>
  <c r="O130" i="48"/>
  <c r="E93" i="10"/>
  <c r="D85" i="10"/>
  <c r="C36" i="7"/>
  <c r="C85" i="10" s="1"/>
  <c r="E69" i="48"/>
  <c r="F44" i="48"/>
  <c r="E43" i="48"/>
  <c r="C93" i="10" l="1"/>
  <c r="D93" i="10"/>
  <c r="D69" i="48"/>
  <c r="E44" i="48"/>
  <c r="C43" i="48"/>
  <c r="D43" i="48"/>
  <c r="M49" i="9"/>
  <c r="F49" i="9" s="1"/>
  <c r="M48" i="9"/>
  <c r="G48" i="9" s="1"/>
  <c r="F48" i="9" s="1"/>
  <c r="E48" i="9" s="1"/>
  <c r="D48" i="9" s="1"/>
  <c r="C48" i="9" s="1"/>
  <c r="M42" i="9"/>
  <c r="D42" i="9" s="1"/>
  <c r="L26" i="37"/>
  <c r="F26" i="37" s="1"/>
  <c r="L18" i="8"/>
  <c r="B127" i="8"/>
  <c r="E26" i="37" l="1"/>
  <c r="D26" i="37" s="1"/>
  <c r="C26" i="37" s="1"/>
  <c r="B26" i="37" s="1"/>
  <c r="O26" i="37"/>
  <c r="I16" i="50" s="1"/>
  <c r="C49" i="9"/>
  <c r="E18" i="8"/>
  <c r="G18" i="8"/>
  <c r="F18" i="8"/>
  <c r="C18" i="8"/>
  <c r="D18" i="8"/>
  <c r="F42" i="9"/>
  <c r="G42" i="9"/>
  <c r="C42" i="9"/>
  <c r="D49" i="9"/>
  <c r="E42" i="9"/>
  <c r="E49" i="9"/>
  <c r="G49" i="9"/>
  <c r="C69" i="48"/>
  <c r="C44" i="48" s="1"/>
  <c r="D44" i="48"/>
  <c r="C76" i="10"/>
  <c r="D76" i="10"/>
  <c r="E76" i="10"/>
  <c r="F76" i="10"/>
  <c r="G76" i="10"/>
  <c r="O49" i="37"/>
  <c r="L85" i="8"/>
  <c r="N38" i="36"/>
  <c r="F38" i="36"/>
  <c r="L64" i="8"/>
  <c r="L62" i="8"/>
  <c r="L63" i="8"/>
  <c r="L61" i="8"/>
  <c r="C75" i="8"/>
  <c r="D75" i="8"/>
  <c r="E75" i="8"/>
  <c r="F75" i="8"/>
  <c r="G75" i="8"/>
  <c r="L58" i="8"/>
  <c r="G58" i="8" s="1"/>
  <c r="M26" i="7"/>
  <c r="F26" i="7" s="1"/>
  <c r="M27" i="7"/>
  <c r="E27" i="7" s="1"/>
  <c r="M28" i="7"/>
  <c r="D28" i="7" s="1"/>
  <c r="M25" i="7"/>
  <c r="C25" i="7" s="1"/>
  <c r="G23" i="7"/>
  <c r="F23" i="7" s="1"/>
  <c r="E23" i="7" s="1"/>
  <c r="D23" i="7" s="1"/>
  <c r="C23" i="7" s="1"/>
  <c r="M17" i="7"/>
  <c r="D17" i="7" s="1"/>
  <c r="M13" i="7"/>
  <c r="G13" i="7" s="1"/>
  <c r="F13" i="7" s="1"/>
  <c r="E13" i="7" s="1"/>
  <c r="D13" i="7" s="1"/>
  <c r="C13" i="7" s="1"/>
  <c r="M15" i="7"/>
  <c r="D15" i="7" s="1"/>
  <c r="M16" i="7"/>
  <c r="D16" i="7" s="1"/>
  <c r="L49" i="31"/>
  <c r="L47" i="31"/>
  <c r="G47" i="31" s="1"/>
  <c r="L22" i="31"/>
  <c r="L19" i="31"/>
  <c r="L14" i="31"/>
  <c r="G14" i="31" s="1"/>
  <c r="L13" i="31"/>
  <c r="L12" i="31"/>
  <c r="L7" i="31"/>
  <c r="G7" i="31" s="1"/>
  <c r="G74" i="8" s="1"/>
  <c r="L6" i="31"/>
  <c r="F6" i="31" s="1"/>
  <c r="F73" i="8" s="1"/>
  <c r="L5" i="31"/>
  <c r="E5" i="31" s="1"/>
  <c r="E72" i="8" s="1"/>
  <c r="L4" i="31"/>
  <c r="F4" i="31" s="1"/>
  <c r="F71" i="8" s="1"/>
  <c r="L3" i="31"/>
  <c r="F3" i="31" s="1"/>
  <c r="F40" i="31" s="1"/>
  <c r="J15" i="36"/>
  <c r="L48" i="8"/>
  <c r="L51" i="8"/>
  <c r="G50" i="8"/>
  <c r="G47" i="8"/>
  <c r="F47" i="8" s="1"/>
  <c r="L43" i="8"/>
  <c r="L42" i="8"/>
  <c r="L41" i="8"/>
  <c r="L28" i="8"/>
  <c r="L27" i="8"/>
  <c r="C27" i="8" s="1"/>
  <c r="L26" i="8"/>
  <c r="L25" i="8"/>
  <c r="L20" i="8"/>
  <c r="G20" i="8" s="1"/>
  <c r="L19" i="8"/>
  <c r="L14" i="8"/>
  <c r="L13" i="8"/>
  <c r="G13" i="8" s="1"/>
  <c r="F13" i="8" s="1"/>
  <c r="E13" i="8" s="1"/>
  <c r="D13" i="8" s="1"/>
  <c r="C13" i="8" s="1"/>
  <c r="H31" i="8"/>
  <c r="G32" i="8"/>
  <c r="H32" i="8"/>
  <c r="F33" i="8"/>
  <c r="H33" i="8"/>
  <c r="G34" i="8"/>
  <c r="H34" i="8"/>
  <c r="F35" i="8"/>
  <c r="H35" i="8"/>
  <c r="H36" i="8"/>
  <c r="C35" i="8"/>
  <c r="C36" i="8"/>
  <c r="C33" i="8"/>
  <c r="C34" i="8"/>
  <c r="K7" i="38"/>
  <c r="K6" i="38"/>
  <c r="C14" i="8" l="1"/>
  <c r="D6" i="38"/>
  <c r="F6" i="38"/>
  <c r="G30" i="8" s="1"/>
  <c r="C6" i="38"/>
  <c r="D30" i="8" s="1"/>
  <c r="B6" i="38"/>
  <c r="C30" i="8" s="1"/>
  <c r="E6" i="38"/>
  <c r="D7" i="38"/>
  <c r="E31" i="8" s="1"/>
  <c r="E7" i="38"/>
  <c r="F31" i="8" s="1"/>
  <c r="C7" i="38"/>
  <c r="D31" i="8" s="1"/>
  <c r="F7" i="38"/>
  <c r="G31" i="8" s="1"/>
  <c r="B7" i="38"/>
  <c r="C31" i="8" s="1"/>
  <c r="E64" i="8"/>
  <c r="D64" i="8"/>
  <c r="G64" i="8"/>
  <c r="G40" i="9" s="1"/>
  <c r="G39" i="9" s="1"/>
  <c r="C64" i="8"/>
  <c r="F64" i="8"/>
  <c r="D85" i="8"/>
  <c r="G85" i="8"/>
  <c r="C85" i="8"/>
  <c r="F85" i="8"/>
  <c r="E85" i="8"/>
  <c r="D61" i="8"/>
  <c r="G61" i="8"/>
  <c r="C61" i="8"/>
  <c r="F61" i="8"/>
  <c r="E61" i="8"/>
  <c r="F63" i="8"/>
  <c r="E63" i="8"/>
  <c r="D63" i="8"/>
  <c r="G63" i="8"/>
  <c r="C63" i="8"/>
  <c r="G62" i="8"/>
  <c r="C62" i="8"/>
  <c r="F62" i="8"/>
  <c r="E62" i="8"/>
  <c r="D62" i="8"/>
  <c r="F27" i="8"/>
  <c r="E27" i="8"/>
  <c r="D25" i="8"/>
  <c r="F25" i="8"/>
  <c r="E25" i="8"/>
  <c r="G25" i="8"/>
  <c r="C25" i="8"/>
  <c r="D42" i="8"/>
  <c r="F42" i="8"/>
  <c r="G42" i="8"/>
  <c r="C42" i="8"/>
  <c r="E42" i="8"/>
  <c r="E51" i="8"/>
  <c r="G51" i="8"/>
  <c r="G49" i="8" s="1"/>
  <c r="C51" i="8"/>
  <c r="D51" i="8"/>
  <c r="F51" i="8"/>
  <c r="E14" i="8"/>
  <c r="E12" i="8" s="1"/>
  <c r="C8" i="29" s="1"/>
  <c r="G26" i="8"/>
  <c r="C26" i="8"/>
  <c r="E26" i="8"/>
  <c r="F26" i="8"/>
  <c r="D26" i="8"/>
  <c r="G43" i="8"/>
  <c r="C43" i="8"/>
  <c r="E43" i="8"/>
  <c r="F43" i="8"/>
  <c r="D43" i="8"/>
  <c r="F48" i="8"/>
  <c r="D48" i="8"/>
  <c r="C48" i="8"/>
  <c r="E48" i="8"/>
  <c r="G48" i="8"/>
  <c r="G46" i="8" s="1"/>
  <c r="F28" i="8"/>
  <c r="D28" i="8"/>
  <c r="C28" i="8"/>
  <c r="E28" i="8"/>
  <c r="G28" i="8"/>
  <c r="G27" i="8"/>
  <c r="E41" i="8"/>
  <c r="G41" i="8"/>
  <c r="C41" i="8"/>
  <c r="F41" i="8"/>
  <c r="D41" i="8"/>
  <c r="G13" i="31"/>
  <c r="C13" i="31"/>
  <c r="C78" i="8" s="1"/>
  <c r="F13" i="31"/>
  <c r="E13" i="31"/>
  <c r="E78" i="8" s="1"/>
  <c r="D13" i="31"/>
  <c r="E19" i="31"/>
  <c r="D19" i="31"/>
  <c r="G19" i="31"/>
  <c r="G80" i="8" s="1"/>
  <c r="G65" i="8" s="1"/>
  <c r="C19" i="31"/>
  <c r="F19" i="31"/>
  <c r="D12" i="31"/>
  <c r="G12" i="31"/>
  <c r="G77" i="8" s="1"/>
  <c r="C12" i="31"/>
  <c r="F12" i="31"/>
  <c r="E12" i="31"/>
  <c r="D22" i="31"/>
  <c r="D59" i="8" s="1"/>
  <c r="G22" i="31"/>
  <c r="G59" i="8" s="1"/>
  <c r="C22" i="31"/>
  <c r="C59" i="8" s="1"/>
  <c r="F22" i="31"/>
  <c r="F59" i="8" s="1"/>
  <c r="E22" i="31"/>
  <c r="E45" i="31" s="1"/>
  <c r="G81" i="8"/>
  <c r="E38" i="36"/>
  <c r="F30" i="8"/>
  <c r="E30" i="8"/>
  <c r="F32" i="8"/>
  <c r="G36" i="8"/>
  <c r="E35" i="8"/>
  <c r="F36" i="8"/>
  <c r="D35" i="8"/>
  <c r="F34" i="8"/>
  <c r="D33" i="8"/>
  <c r="D36" i="8"/>
  <c r="D34" i="8"/>
  <c r="E33" i="8"/>
  <c r="E36" i="8"/>
  <c r="G35" i="8"/>
  <c r="E34" i="8"/>
  <c r="G33" i="8"/>
  <c r="F58" i="8"/>
  <c r="E12" i="29"/>
  <c r="G37" i="9"/>
  <c r="G36" i="9" s="1"/>
  <c r="G34" i="9"/>
  <c r="G33" i="9" s="1"/>
  <c r="F20" i="8"/>
  <c r="G14" i="8"/>
  <c r="G12" i="8" s="1"/>
  <c r="E8" i="29" s="1"/>
  <c r="F14" i="8"/>
  <c r="F12" i="8" s="1"/>
  <c r="D8" i="29" s="1"/>
  <c r="D27" i="8"/>
  <c r="F50" i="8"/>
  <c r="D14" i="8"/>
  <c r="D12" i="8" s="1"/>
  <c r="G16" i="7"/>
  <c r="C17" i="7"/>
  <c r="C16" i="7"/>
  <c r="C15" i="7"/>
  <c r="F25" i="7"/>
  <c r="G28" i="7"/>
  <c r="C28" i="7"/>
  <c r="D27" i="7"/>
  <c r="E26" i="7"/>
  <c r="F17" i="7"/>
  <c r="F16" i="7"/>
  <c r="F15" i="7"/>
  <c r="E25" i="7"/>
  <c r="F28" i="7"/>
  <c r="G27" i="7"/>
  <c r="C27" i="7"/>
  <c r="D26" i="7"/>
  <c r="G15" i="7"/>
  <c r="E17" i="7"/>
  <c r="E16" i="7"/>
  <c r="E15" i="7"/>
  <c r="D25" i="7"/>
  <c r="E28" i="7"/>
  <c r="F27" i="7"/>
  <c r="G26" i="7"/>
  <c r="C26" i="7"/>
  <c r="G17" i="7"/>
  <c r="G25" i="7"/>
  <c r="F70" i="8"/>
  <c r="C4" i="31"/>
  <c r="C71" i="8" s="1"/>
  <c r="G60" i="8"/>
  <c r="G57" i="51" s="1"/>
  <c r="F78" i="8"/>
  <c r="E6" i="31"/>
  <c r="E73" i="8" s="1"/>
  <c r="G4" i="31"/>
  <c r="G71" i="8" s="1"/>
  <c r="F47" i="31"/>
  <c r="G79" i="8"/>
  <c r="F14" i="31"/>
  <c r="G6" i="31"/>
  <c r="F43" i="31"/>
  <c r="G49" i="31"/>
  <c r="F49" i="31" s="1"/>
  <c r="E49" i="31" s="1"/>
  <c r="D49" i="31" s="1"/>
  <c r="C49" i="31" s="1"/>
  <c r="C6" i="31"/>
  <c r="D7" i="31"/>
  <c r="D74" i="8" s="1"/>
  <c r="G45" i="31"/>
  <c r="D78" i="8"/>
  <c r="C3" i="31"/>
  <c r="D6" i="31"/>
  <c r="E42" i="31"/>
  <c r="F41" i="31"/>
  <c r="G78" i="8"/>
  <c r="E47" i="8"/>
  <c r="F46" i="8"/>
  <c r="D3" i="31"/>
  <c r="D4" i="31"/>
  <c r="C5" i="31"/>
  <c r="G5" i="31"/>
  <c r="E7" i="31"/>
  <c r="E74" i="8" s="1"/>
  <c r="E3" i="31"/>
  <c r="E4" i="31"/>
  <c r="D5" i="31"/>
  <c r="F7" i="31"/>
  <c r="F74" i="8" s="1"/>
  <c r="F5" i="31"/>
  <c r="G3" i="31"/>
  <c r="C7" i="31"/>
  <c r="C74" i="8" s="1"/>
  <c r="L44" i="8"/>
  <c r="G44" i="8" s="1"/>
  <c r="F44" i="8" s="1"/>
  <c r="E44" i="8" s="1"/>
  <c r="D44" i="8" s="1"/>
  <c r="C44" i="8" s="1"/>
  <c r="G19" i="8"/>
  <c r="F19" i="8"/>
  <c r="E19" i="8"/>
  <c r="D19" i="8"/>
  <c r="C19" i="8"/>
  <c r="G16" i="8"/>
  <c r="F16" i="8"/>
  <c r="F15" i="8" s="1"/>
  <c r="D10" i="29" s="1"/>
  <c r="C12" i="8"/>
  <c r="C28" i="9"/>
  <c r="C27" i="9" s="1"/>
  <c r="D28" i="9"/>
  <c r="D27" i="9" s="1"/>
  <c r="E28" i="9"/>
  <c r="E27" i="9" s="1"/>
  <c r="F28" i="9"/>
  <c r="F27" i="9" s="1"/>
  <c r="G28" i="9"/>
  <c r="G27" i="9" s="1"/>
  <c r="G23" i="9"/>
  <c r="G22" i="9" s="1"/>
  <c r="K43" i="9"/>
  <c r="L43" i="9"/>
  <c r="L23" i="9"/>
  <c r="L22" i="9" s="1"/>
  <c r="K23" i="9"/>
  <c r="K22" i="9" s="1"/>
  <c r="J23" i="9"/>
  <c r="J22" i="9" s="1"/>
  <c r="I23" i="9"/>
  <c r="I22" i="9" s="1"/>
  <c r="H23" i="9"/>
  <c r="H22" i="9" s="1"/>
  <c r="I5" i="8"/>
  <c r="J5" i="8"/>
  <c r="K5" i="8"/>
  <c r="G29" i="8" l="1"/>
  <c r="M43" i="9"/>
  <c r="F45" i="31"/>
  <c r="E5" i="38"/>
  <c r="F5" i="38"/>
  <c r="G45" i="8"/>
  <c r="D43" i="9"/>
  <c r="F43" i="9"/>
  <c r="E43" i="9"/>
  <c r="G43" i="9"/>
  <c r="C43" i="9"/>
  <c r="E59" i="8"/>
  <c r="G46" i="31"/>
  <c r="G57" i="8"/>
  <c r="F81" i="8"/>
  <c r="F29" i="8"/>
  <c r="E32" i="8"/>
  <c r="E29" i="8" s="1"/>
  <c r="D5" i="38"/>
  <c r="F49" i="8"/>
  <c r="F45" i="8" s="1"/>
  <c r="E50" i="8"/>
  <c r="F40" i="9"/>
  <c r="F39" i="9" s="1"/>
  <c r="E20" i="8"/>
  <c r="F34" i="9"/>
  <c r="F33" i="9" s="1"/>
  <c r="E58" i="8"/>
  <c r="D12" i="29"/>
  <c r="F37" i="9"/>
  <c r="F36" i="9" s="1"/>
  <c r="C45" i="31"/>
  <c r="D45" i="31"/>
  <c r="C41" i="31"/>
  <c r="G41" i="31"/>
  <c r="E43" i="31"/>
  <c r="E71" i="8"/>
  <c r="E41" i="31"/>
  <c r="D70" i="8"/>
  <c r="D40" i="31"/>
  <c r="F72" i="8"/>
  <c r="F42" i="31"/>
  <c r="E70" i="8"/>
  <c r="E40" i="31"/>
  <c r="G72" i="8"/>
  <c r="G42" i="31"/>
  <c r="F80" i="8"/>
  <c r="F65" i="8" s="1"/>
  <c r="G70" i="8"/>
  <c r="G40" i="31"/>
  <c r="C72" i="8"/>
  <c r="C42" i="31"/>
  <c r="D73" i="8"/>
  <c r="D43" i="31"/>
  <c r="C43" i="31"/>
  <c r="C73" i="8"/>
  <c r="E14" i="31"/>
  <c r="F79" i="8"/>
  <c r="D72" i="8"/>
  <c r="D42" i="31"/>
  <c r="D71" i="8"/>
  <c r="D41" i="31"/>
  <c r="C70" i="8"/>
  <c r="C40" i="31"/>
  <c r="G43" i="31"/>
  <c r="G73" i="8"/>
  <c r="E47" i="31"/>
  <c r="D47" i="8"/>
  <c r="E46" i="8"/>
  <c r="G15" i="8"/>
  <c r="E10" i="29" s="1"/>
  <c r="G24" i="8"/>
  <c r="G23" i="8" s="1"/>
  <c r="E24" i="8"/>
  <c r="E23" i="8" s="1"/>
  <c r="F24" i="8"/>
  <c r="F23" i="8" s="1"/>
  <c r="E16" i="8"/>
  <c r="E15" i="8" s="1"/>
  <c r="E81" i="8" l="1"/>
  <c r="D38" i="36"/>
  <c r="C5" i="38"/>
  <c r="D32" i="8"/>
  <c r="D29" i="8" s="1"/>
  <c r="D58" i="8"/>
  <c r="C12" i="29"/>
  <c r="E37" i="9"/>
  <c r="E36" i="9" s="1"/>
  <c r="E40" i="9"/>
  <c r="E39" i="9" s="1"/>
  <c r="E31" i="9"/>
  <c r="E30" i="9" s="1"/>
  <c r="C10" i="29"/>
  <c r="D20" i="8"/>
  <c r="E34" i="9"/>
  <c r="E33" i="9" s="1"/>
  <c r="D50" i="8"/>
  <c r="E49" i="8"/>
  <c r="G62" i="48"/>
  <c r="G42" i="48" s="1"/>
  <c r="F46" i="31"/>
  <c r="F60" i="8"/>
  <c r="F57" i="51" s="1"/>
  <c r="E80" i="8"/>
  <c r="E65" i="8" s="1"/>
  <c r="D14" i="31"/>
  <c r="E79" i="8"/>
  <c r="F77" i="8"/>
  <c r="D47" i="31"/>
  <c r="F31" i="9"/>
  <c r="F30" i="9" s="1"/>
  <c r="F26" i="9" s="1"/>
  <c r="C47" i="8"/>
  <c r="C46" i="8" s="1"/>
  <c r="D46" i="8"/>
  <c r="C24" i="8"/>
  <c r="C23" i="8" s="1"/>
  <c r="D24" i="8"/>
  <c r="D23" i="8" s="1"/>
  <c r="D16" i="8"/>
  <c r="D15" i="8" s="1"/>
  <c r="D31" i="9" s="1"/>
  <c r="D30" i="9" s="1"/>
  <c r="C16" i="8"/>
  <c r="C15" i="8" s="1"/>
  <c r="L7" i="37"/>
  <c r="G5" i="37"/>
  <c r="G12" i="7"/>
  <c r="R51" i="8"/>
  <c r="Q51" i="8"/>
  <c r="P51" i="8"/>
  <c r="O51" i="8"/>
  <c r="P48" i="8"/>
  <c r="Q48" i="8"/>
  <c r="R48" i="8"/>
  <c r="O48" i="8"/>
  <c r="H52" i="48"/>
  <c r="I52" i="48"/>
  <c r="J52" i="48"/>
  <c r="K52" i="48"/>
  <c r="L52" i="48"/>
  <c r="K34" i="43"/>
  <c r="S16" i="43"/>
  <c r="S17" i="43"/>
  <c r="S18" i="43"/>
  <c r="S19" i="43"/>
  <c r="S22" i="43" a="1"/>
  <c r="S22" i="43" s="1"/>
  <c r="C34" i="28"/>
  <c r="D34" i="28"/>
  <c r="E34" i="28"/>
  <c r="F34" i="28"/>
  <c r="G34" i="28"/>
  <c r="C35" i="28"/>
  <c r="D35" i="28"/>
  <c r="E35" i="28"/>
  <c r="F35" i="28"/>
  <c r="G35" i="28"/>
  <c r="C36" i="28"/>
  <c r="D36" i="28"/>
  <c r="E36" i="28"/>
  <c r="F36" i="28"/>
  <c r="G36" i="28"/>
  <c r="C37" i="28"/>
  <c r="D37" i="28"/>
  <c r="E37" i="28"/>
  <c r="F37" i="28"/>
  <c r="G37" i="28"/>
  <c r="F41" i="28"/>
  <c r="F46" i="28"/>
  <c r="L71" i="28"/>
  <c r="K71" i="28"/>
  <c r="J71" i="28"/>
  <c r="I71" i="28"/>
  <c r="H71" i="28"/>
  <c r="AA71" i="28"/>
  <c r="Z71" i="28"/>
  <c r="Y71" i="28"/>
  <c r="X71" i="28"/>
  <c r="W71" i="28"/>
  <c r="AA92" i="28"/>
  <c r="Z92" i="28"/>
  <c r="Y92" i="28"/>
  <c r="X92" i="28"/>
  <c r="W92" i="28"/>
  <c r="L92" i="28"/>
  <c r="K92" i="28"/>
  <c r="J92" i="28"/>
  <c r="I92" i="28"/>
  <c r="H92" i="28"/>
  <c r="E9" i="28"/>
  <c r="C12" i="28"/>
  <c r="D12" i="28"/>
  <c r="E12" i="28"/>
  <c r="F12" i="28"/>
  <c r="G12" i="28"/>
  <c r="D19" i="28"/>
  <c r="C20" i="28"/>
  <c r="C24" i="28"/>
  <c r="C23" i="28" s="1"/>
  <c r="C9" i="7" s="1"/>
  <c r="C16" i="9" s="1"/>
  <c r="C15" i="9" s="1"/>
  <c r="G24" i="28"/>
  <c r="G23" i="28" s="1"/>
  <c r="G44" i="28"/>
  <c r="C44" i="28"/>
  <c r="C22" i="28"/>
  <c r="C11" i="28"/>
  <c r="G42" i="28"/>
  <c r="C47" i="28"/>
  <c r="C9" i="28"/>
  <c r="G43" i="28"/>
  <c r="G21" i="28"/>
  <c r="G16" i="28"/>
  <c r="C16" i="28"/>
  <c r="C48" i="28"/>
  <c r="G10" i="28"/>
  <c r="F10" i="28"/>
  <c r="G92" i="28"/>
  <c r="G5" i="28" s="1"/>
  <c r="F92" i="28"/>
  <c r="F5" i="28" s="1"/>
  <c r="F135" i="28" s="1"/>
  <c r="C29" i="28"/>
  <c r="C41" i="28"/>
  <c r="C19" i="28"/>
  <c r="G46" i="28"/>
  <c r="C46" i="28"/>
  <c r="C8" i="28"/>
  <c r="G71" i="28"/>
  <c r="G3" i="28" s="1"/>
  <c r="H81" i="28"/>
  <c r="I54" i="7"/>
  <c r="J54" i="7"/>
  <c r="K54" i="7"/>
  <c r="L54" i="7"/>
  <c r="K77" i="10"/>
  <c r="I77" i="10"/>
  <c r="J77" i="10"/>
  <c r="H77" i="10"/>
  <c r="I76" i="10"/>
  <c r="J76" i="10"/>
  <c r="K76" i="10"/>
  <c r="H76" i="10"/>
  <c r="K86" i="10"/>
  <c r="I85" i="10"/>
  <c r="J85" i="10"/>
  <c r="K85" i="10"/>
  <c r="H85" i="10"/>
  <c r="I55" i="46"/>
  <c r="I69" i="10" s="1"/>
  <c r="J55" i="46"/>
  <c r="J69" i="10" s="1"/>
  <c r="K55" i="46"/>
  <c r="K69" i="10" s="1"/>
  <c r="L55" i="46"/>
  <c r="H55" i="46"/>
  <c r="H69" i="10" s="1"/>
  <c r="M47" i="46"/>
  <c r="L47" i="46"/>
  <c r="K47" i="46"/>
  <c r="K54" i="46" s="1"/>
  <c r="J47" i="46"/>
  <c r="I47" i="46"/>
  <c r="H47" i="46"/>
  <c r="M46" i="46"/>
  <c r="L46" i="46"/>
  <c r="K46" i="46"/>
  <c r="K53" i="46" s="1"/>
  <c r="J46" i="46"/>
  <c r="I46" i="46"/>
  <c r="I53" i="46" s="1"/>
  <c r="H46" i="46"/>
  <c r="M45" i="46"/>
  <c r="L45" i="46"/>
  <c r="K45" i="46"/>
  <c r="J45" i="46"/>
  <c r="J42" i="46" s="1"/>
  <c r="I45" i="46"/>
  <c r="H45" i="46"/>
  <c r="M44" i="46"/>
  <c r="L44" i="46"/>
  <c r="K44" i="46"/>
  <c r="K51" i="46" s="1"/>
  <c r="J44" i="46"/>
  <c r="I44" i="46"/>
  <c r="I51" i="46" s="1"/>
  <c r="H44" i="46"/>
  <c r="L56" i="46"/>
  <c r="K56" i="46"/>
  <c r="J56" i="46"/>
  <c r="I56" i="46"/>
  <c r="H56" i="46"/>
  <c r="H58" i="46" s="1"/>
  <c r="H54" i="46" l="1"/>
  <c r="G135" i="28"/>
  <c r="L51" i="46"/>
  <c r="L53" i="46"/>
  <c r="J54" i="46"/>
  <c r="I52" i="46"/>
  <c r="I42" i="46"/>
  <c r="S21" i="43"/>
  <c r="O29" i="43" s="1"/>
  <c r="H86" i="10"/>
  <c r="O56" i="46"/>
  <c r="N56" i="46"/>
  <c r="I58" i="46"/>
  <c r="H51" i="46"/>
  <c r="N44" i="46"/>
  <c r="O44" i="46"/>
  <c r="H53" i="46"/>
  <c r="N46" i="46"/>
  <c r="J58" i="46"/>
  <c r="K52" i="46"/>
  <c r="K42" i="46"/>
  <c r="J86" i="10"/>
  <c r="H52" i="46"/>
  <c r="H42" i="46"/>
  <c r="N45" i="46"/>
  <c r="O45" i="46"/>
  <c r="L52" i="46"/>
  <c r="L42" i="46"/>
  <c r="O47" i="46"/>
  <c r="N47" i="46"/>
  <c r="L54" i="46"/>
  <c r="J52" i="46"/>
  <c r="I86" i="10"/>
  <c r="G9" i="7"/>
  <c r="G16" i="9" s="1"/>
  <c r="G15" i="9" s="1"/>
  <c r="C80" i="48"/>
  <c r="C79" i="48"/>
  <c r="D81" i="8"/>
  <c r="C38" i="36"/>
  <c r="C32" i="8"/>
  <c r="C29" i="8" s="1"/>
  <c r="B5" i="38"/>
  <c r="E26" i="9"/>
  <c r="C50" i="8"/>
  <c r="C49" i="8" s="1"/>
  <c r="C45" i="8" s="1"/>
  <c r="D49" i="8"/>
  <c r="D45" i="8" s="1"/>
  <c r="C58" i="8"/>
  <c r="C37" i="9" s="1"/>
  <c r="C36" i="9" s="1"/>
  <c r="D37" i="9"/>
  <c r="D36" i="9" s="1"/>
  <c r="C20" i="8"/>
  <c r="C34" i="9" s="1"/>
  <c r="C33" i="9" s="1"/>
  <c r="D34" i="9"/>
  <c r="D33" i="9" s="1"/>
  <c r="C40" i="9"/>
  <c r="C39" i="9" s="1"/>
  <c r="D40" i="9"/>
  <c r="D39" i="9" s="1"/>
  <c r="E45" i="8"/>
  <c r="F57" i="8"/>
  <c r="G33" i="28"/>
  <c r="C33" i="28"/>
  <c r="C11" i="7" s="1"/>
  <c r="C20" i="9" s="1"/>
  <c r="C19" i="9" s="1"/>
  <c r="F16" i="28"/>
  <c r="F33" i="28"/>
  <c r="F11" i="7" s="1"/>
  <c r="F20" i="9" s="1"/>
  <c r="F19" i="9" s="1"/>
  <c r="V81" i="28"/>
  <c r="E22" i="28"/>
  <c r="G49" i="28"/>
  <c r="C6" i="28"/>
  <c r="C136" i="28" s="1"/>
  <c r="G20" i="28"/>
  <c r="E47" i="28"/>
  <c r="F62" i="48"/>
  <c r="F42" i="48" s="1"/>
  <c r="E60" i="8"/>
  <c r="E57" i="51" s="1"/>
  <c r="E46" i="31"/>
  <c r="C80" i="8"/>
  <c r="C65" i="8" s="1"/>
  <c r="D80" i="8"/>
  <c r="D65" i="8" s="1"/>
  <c r="C14" i="31"/>
  <c r="C79" i="8" s="1"/>
  <c r="D79" i="8"/>
  <c r="C47" i="31"/>
  <c r="E77" i="8"/>
  <c r="J51" i="46"/>
  <c r="I54" i="46"/>
  <c r="J53" i="46"/>
  <c r="C31" i="9"/>
  <c r="C30" i="9" s="1"/>
  <c r="F23" i="9"/>
  <c r="F22" i="9" s="1"/>
  <c r="F12" i="7"/>
  <c r="C55" i="48"/>
  <c r="F17" i="28"/>
  <c r="E21" i="28"/>
  <c r="E43" i="28"/>
  <c r="F14" i="28"/>
  <c r="F31" i="28"/>
  <c r="F15" i="28"/>
  <c r="F49" i="28"/>
  <c r="G15" i="28"/>
  <c r="G31" i="28"/>
  <c r="F24" i="28"/>
  <c r="F23" i="28" s="1"/>
  <c r="F9" i="7" s="1"/>
  <c r="F16" i="9" s="1"/>
  <c r="F15" i="9" s="1"/>
  <c r="D22" i="28"/>
  <c r="F20" i="28"/>
  <c r="G19" i="28"/>
  <c r="E16" i="28"/>
  <c r="G14" i="28"/>
  <c r="F11" i="28"/>
  <c r="D9" i="28"/>
  <c r="E8" i="28"/>
  <c r="F6" i="28"/>
  <c r="G48" i="28"/>
  <c r="D47" i="28"/>
  <c r="E46" i="28"/>
  <c r="F44" i="28"/>
  <c r="E41" i="28"/>
  <c r="E33" i="28"/>
  <c r="E11" i="7" s="1"/>
  <c r="E20" i="9" s="1"/>
  <c r="E19" i="9" s="1"/>
  <c r="G29" i="28"/>
  <c r="G11" i="28"/>
  <c r="F8" i="28"/>
  <c r="E6" i="28"/>
  <c r="V71" i="28"/>
  <c r="G4" i="28" s="1"/>
  <c r="D48" i="28"/>
  <c r="D29" i="28"/>
  <c r="F102" i="28"/>
  <c r="E24" i="28"/>
  <c r="E23" i="28" s="1"/>
  <c r="E9" i="7" s="1"/>
  <c r="E16" i="9" s="1"/>
  <c r="E15" i="9" s="1"/>
  <c r="G22" i="28"/>
  <c r="E20" i="28"/>
  <c r="F19" i="28"/>
  <c r="G17" i="28"/>
  <c r="D16" i="28"/>
  <c r="E11" i="28"/>
  <c r="G9" i="28"/>
  <c r="D8" i="28"/>
  <c r="G6" i="28"/>
  <c r="G136" i="28" s="1"/>
  <c r="F48" i="28"/>
  <c r="G47" i="28"/>
  <c r="D46" i="28"/>
  <c r="E44" i="28"/>
  <c r="F43" i="28"/>
  <c r="D41" i="28"/>
  <c r="D33" i="28"/>
  <c r="D11" i="7" s="1"/>
  <c r="D20" i="9" s="1"/>
  <c r="D19" i="9" s="1"/>
  <c r="F29" i="28"/>
  <c r="F21" i="28"/>
  <c r="G102" i="28"/>
  <c r="D24" i="28"/>
  <c r="D23" i="28" s="1"/>
  <c r="D9" i="7" s="1"/>
  <c r="D16" i="9" s="1"/>
  <c r="D15" i="9" s="1"/>
  <c r="F22" i="28"/>
  <c r="D20" i="28"/>
  <c r="E19" i="28"/>
  <c r="D11" i="28"/>
  <c r="F9" i="28"/>
  <c r="G8" i="28"/>
  <c r="G133" i="28" s="1"/>
  <c r="E92" i="28"/>
  <c r="E5" i="28" s="1"/>
  <c r="D6" i="28"/>
  <c r="D136" i="28" s="1"/>
  <c r="E48" i="28"/>
  <c r="F47" i="28"/>
  <c r="D44" i="28"/>
  <c r="F42" i="28"/>
  <c r="G41" i="28"/>
  <c r="G40" i="28" s="1"/>
  <c r="E29" i="28"/>
  <c r="C56" i="48"/>
  <c r="S24" i="43"/>
  <c r="S23" i="43"/>
  <c r="S15" i="43"/>
  <c r="S25" i="43"/>
  <c r="V102" i="28"/>
  <c r="D102" i="28"/>
  <c r="E102" i="28"/>
  <c r="G81" i="28"/>
  <c r="F44" i="46" l="1"/>
  <c r="E44" i="46"/>
  <c r="C44" i="46"/>
  <c r="G44" i="46"/>
  <c r="D44" i="46"/>
  <c r="F46" i="46"/>
  <c r="G46" i="46"/>
  <c r="G53" i="46" s="1"/>
  <c r="E46" i="46"/>
  <c r="E53" i="46" s="1"/>
  <c r="D46" i="46"/>
  <c r="C46" i="46"/>
  <c r="C53" i="46" s="1"/>
  <c r="D45" i="46"/>
  <c r="D52" i="46" s="1"/>
  <c r="F45" i="46"/>
  <c r="F52" i="46" s="1"/>
  <c r="C45" i="46"/>
  <c r="E45" i="46"/>
  <c r="G45" i="46"/>
  <c r="G52" i="46" s="1"/>
  <c r="O30" i="43"/>
  <c r="O31" i="43"/>
  <c r="O32" i="43"/>
  <c r="D47" i="46"/>
  <c r="E47" i="46"/>
  <c r="E54" i="46" s="1"/>
  <c r="G47" i="46"/>
  <c r="G54" i="46" s="1"/>
  <c r="C47" i="46"/>
  <c r="F47" i="46"/>
  <c r="F54" i="46" s="1"/>
  <c r="F56" i="46"/>
  <c r="G56" i="46"/>
  <c r="C56" i="46"/>
  <c r="D56" i="46"/>
  <c r="E56" i="46"/>
  <c r="G134" i="28"/>
  <c r="G132" i="28" s="1"/>
  <c r="E136" i="28"/>
  <c r="F136" i="28"/>
  <c r="G18" i="28"/>
  <c r="G8" i="7" s="1"/>
  <c r="G11" i="7"/>
  <c r="G20" i="9" s="1"/>
  <c r="G19" i="9" s="1"/>
  <c r="G19" i="7"/>
  <c r="C81" i="8"/>
  <c r="B38" i="36"/>
  <c r="D26" i="9"/>
  <c r="C26" i="9"/>
  <c r="E57" i="8"/>
  <c r="G28" i="28"/>
  <c r="G45" i="28"/>
  <c r="G7" i="9" s="1"/>
  <c r="E10" i="28"/>
  <c r="E135" i="28" s="1"/>
  <c r="D92" i="28"/>
  <c r="D5" i="28" s="1"/>
  <c r="F45" i="28"/>
  <c r="E18" i="28"/>
  <c r="E8" i="7" s="1"/>
  <c r="E42" i="28"/>
  <c r="E40" i="28" s="1"/>
  <c r="E19" i="7" s="1"/>
  <c r="E62" i="48"/>
  <c r="E42" i="48" s="1"/>
  <c r="J53" i="48"/>
  <c r="D46" i="31"/>
  <c r="D60" i="8"/>
  <c r="C77" i="8"/>
  <c r="D77" i="8"/>
  <c r="E23" i="9"/>
  <c r="E22" i="9" s="1"/>
  <c r="E12" i="7"/>
  <c r="E81" i="28"/>
  <c r="F71" i="28"/>
  <c r="F3" i="28" s="1"/>
  <c r="F133" i="28" s="1"/>
  <c r="E14" i="28"/>
  <c r="U71" i="28"/>
  <c r="F4" i="28" s="1"/>
  <c r="F134" i="28" s="1"/>
  <c r="G7" i="28"/>
  <c r="G2" i="28" s="1"/>
  <c r="F18" i="28"/>
  <c r="F8" i="7" s="1"/>
  <c r="E49" i="28"/>
  <c r="E45" i="28" s="1"/>
  <c r="E31" i="28"/>
  <c r="E28" i="28" s="1"/>
  <c r="E10" i="7" s="1"/>
  <c r="E18" i="9" s="1"/>
  <c r="C43" i="28"/>
  <c r="D43" i="28"/>
  <c r="C21" i="28"/>
  <c r="C18" i="28" s="1"/>
  <c r="C8" i="7" s="1"/>
  <c r="D21" i="28"/>
  <c r="D18" i="28" s="1"/>
  <c r="D8" i="7" s="1"/>
  <c r="F7" i="28"/>
  <c r="F81" i="28"/>
  <c r="F28" i="28"/>
  <c r="F10" i="7" s="1"/>
  <c r="F18" i="9" s="1"/>
  <c r="F40" i="28"/>
  <c r="F19" i="7" s="1"/>
  <c r="G13" i="28"/>
  <c r="G7" i="7" s="1"/>
  <c r="E15" i="28"/>
  <c r="F13" i="28"/>
  <c r="F7" i="7" s="1"/>
  <c r="E17" i="28"/>
  <c r="H53" i="48"/>
  <c r="E52" i="48"/>
  <c r="C52" i="48"/>
  <c r="D52" i="48"/>
  <c r="F52" i="48"/>
  <c r="L53" i="48"/>
  <c r="G52" i="48"/>
  <c r="I53" i="48"/>
  <c r="K53" i="48"/>
  <c r="U81" i="28"/>
  <c r="U102" i="28"/>
  <c r="D58" i="45"/>
  <c r="E57" i="45"/>
  <c r="F57" i="45"/>
  <c r="G57" i="45"/>
  <c r="D57" i="45"/>
  <c r="E86" i="10" l="1"/>
  <c r="E84" i="10" s="1"/>
  <c r="D86" i="10"/>
  <c r="D84" i="10" s="1"/>
  <c r="D54" i="46"/>
  <c r="C51" i="46"/>
  <c r="C48" i="46"/>
  <c r="D57" i="8"/>
  <c r="D57" i="51"/>
  <c r="F86" i="10"/>
  <c r="F84" i="10" s="1"/>
  <c r="C86" i="10"/>
  <c r="C84" i="10" s="1"/>
  <c r="C54" i="46"/>
  <c r="E52" i="46"/>
  <c r="F53" i="46"/>
  <c r="E51" i="46"/>
  <c r="E48" i="46"/>
  <c r="G51" i="46"/>
  <c r="G48" i="46"/>
  <c r="G86" i="10"/>
  <c r="G84" i="10" s="1"/>
  <c r="C52" i="46"/>
  <c r="D53" i="46"/>
  <c r="D51" i="46"/>
  <c r="D48" i="46"/>
  <c r="F51" i="46"/>
  <c r="F48" i="46"/>
  <c r="F132" i="28"/>
  <c r="E7" i="28"/>
  <c r="E7" i="9"/>
  <c r="E6" i="9" s="1"/>
  <c r="E66" i="51" s="1"/>
  <c r="F7" i="9"/>
  <c r="F6" i="9" s="1"/>
  <c r="F66" i="51" s="1"/>
  <c r="G6" i="9"/>
  <c r="G66" i="51" s="1"/>
  <c r="G7" i="48"/>
  <c r="G10" i="7"/>
  <c r="G18" i="9" s="1"/>
  <c r="D10" i="28"/>
  <c r="D7" i="28" s="1"/>
  <c r="C102" i="28"/>
  <c r="C42" i="28"/>
  <c r="C40" i="28" s="1"/>
  <c r="C19" i="7" s="1"/>
  <c r="D42" i="28"/>
  <c r="D40" i="28" s="1"/>
  <c r="D19" i="7" s="1"/>
  <c r="D62" i="48"/>
  <c r="D42" i="48" s="1"/>
  <c r="C46" i="31"/>
  <c r="C60" i="8"/>
  <c r="D53" i="48"/>
  <c r="G53" i="48"/>
  <c r="C53" i="48"/>
  <c r="F53" i="48"/>
  <c r="E53" i="48"/>
  <c r="D23" i="9"/>
  <c r="D22" i="9" s="1"/>
  <c r="C12" i="7"/>
  <c r="D12" i="7"/>
  <c r="C31" i="28"/>
  <c r="C28" i="28" s="1"/>
  <c r="C10" i="7" s="1"/>
  <c r="C18" i="9" s="1"/>
  <c r="D31" i="28"/>
  <c r="D28" i="28" s="1"/>
  <c r="D10" i="7" s="1"/>
  <c r="D18" i="9" s="1"/>
  <c r="E13" i="28"/>
  <c r="E7" i="7" s="1"/>
  <c r="F2" i="28"/>
  <c r="F7" i="48" s="1"/>
  <c r="C14" i="28"/>
  <c r="D14" i="28"/>
  <c r="E71" i="28"/>
  <c r="E3" i="28" s="1"/>
  <c r="E133" i="28" s="1"/>
  <c r="C17" i="28"/>
  <c r="D17" i="28"/>
  <c r="C15" i="28"/>
  <c r="D15" i="28"/>
  <c r="C49" i="28"/>
  <c r="C45" i="28" s="1"/>
  <c r="D49" i="28"/>
  <c r="D45" i="28" s="1"/>
  <c r="T71" i="28"/>
  <c r="E4" i="28" s="1"/>
  <c r="E134" i="28" s="1"/>
  <c r="T81" i="28"/>
  <c r="T102" i="28"/>
  <c r="L68" i="9"/>
  <c r="K68" i="9"/>
  <c r="J68" i="9"/>
  <c r="J35" i="41"/>
  <c r="J67" i="9" s="1"/>
  <c r="H67" i="9"/>
  <c r="H69" i="9" s="1"/>
  <c r="J29" i="44"/>
  <c r="K52" i="9" s="1"/>
  <c r="K29" i="44"/>
  <c r="L52" i="9" s="1"/>
  <c r="G24" i="44"/>
  <c r="H24" i="44"/>
  <c r="I24" i="44"/>
  <c r="J24" i="44"/>
  <c r="G25" i="44"/>
  <c r="H25" i="44"/>
  <c r="I25" i="44"/>
  <c r="J25" i="44"/>
  <c r="G26" i="44"/>
  <c r="H26" i="44"/>
  <c r="I26" i="44"/>
  <c r="J26" i="44"/>
  <c r="G27" i="44"/>
  <c r="H27" i="44"/>
  <c r="I27" i="44"/>
  <c r="J27" i="44"/>
  <c r="J23" i="44"/>
  <c r="I23" i="44"/>
  <c r="H23" i="44"/>
  <c r="G23" i="44"/>
  <c r="G17" i="44"/>
  <c r="H17" i="44"/>
  <c r="I8" i="8" s="1"/>
  <c r="I17" i="44"/>
  <c r="J8" i="8" s="1"/>
  <c r="J17" i="44"/>
  <c r="K8" i="8" s="1"/>
  <c r="G18" i="44"/>
  <c r="H18" i="44"/>
  <c r="I9" i="8" s="1"/>
  <c r="I18" i="44"/>
  <c r="J9" i="8" s="1"/>
  <c r="J18" i="44"/>
  <c r="K9" i="8" s="1"/>
  <c r="G19" i="44"/>
  <c r="H10" i="8" s="1"/>
  <c r="H19" i="44"/>
  <c r="I10" i="8" s="1"/>
  <c r="I19" i="44"/>
  <c r="J10" i="8" s="1"/>
  <c r="J19" i="44"/>
  <c r="K10" i="8" s="1"/>
  <c r="G20" i="44"/>
  <c r="H11" i="8" s="1"/>
  <c r="H20" i="44"/>
  <c r="I11" i="8" s="1"/>
  <c r="I20" i="44"/>
  <c r="J11" i="8" s="1"/>
  <c r="J20" i="44"/>
  <c r="K11" i="8" s="1"/>
  <c r="J16" i="44"/>
  <c r="K7" i="8" s="1"/>
  <c r="I16" i="44"/>
  <c r="J7" i="8" s="1"/>
  <c r="H16" i="44"/>
  <c r="I7" i="8" s="1"/>
  <c r="G16" i="44"/>
  <c r="L53" i="9"/>
  <c r="K53" i="9"/>
  <c r="J53" i="9"/>
  <c r="I53" i="9"/>
  <c r="H53" i="9"/>
  <c r="G42" i="29"/>
  <c r="F42" i="29"/>
  <c r="E42" i="29"/>
  <c r="D42" i="29"/>
  <c r="C42" i="29"/>
  <c r="I51" i="9"/>
  <c r="J51" i="9"/>
  <c r="K51" i="9"/>
  <c r="L51" i="9"/>
  <c r="H51" i="9"/>
  <c r="K59" i="28"/>
  <c r="K58" i="28"/>
  <c r="K57" i="28"/>
  <c r="K56" i="28"/>
  <c r="T17" i="43"/>
  <c r="L57" i="28" s="1"/>
  <c r="T18" i="43"/>
  <c r="L58" i="28" s="1"/>
  <c r="T19" i="43"/>
  <c r="L59" i="28" s="1"/>
  <c r="T16" i="43"/>
  <c r="R17" i="43"/>
  <c r="J57" i="28" s="1"/>
  <c r="R18" i="43"/>
  <c r="J58" i="28" s="1"/>
  <c r="R19" i="43"/>
  <c r="J59" i="28" s="1"/>
  <c r="R16" i="43"/>
  <c r="J56" i="28" s="1"/>
  <c r="Q17" i="43"/>
  <c r="I57" i="28" s="1"/>
  <c r="Q18" i="43"/>
  <c r="I58" i="28" s="1"/>
  <c r="Q19" i="43"/>
  <c r="I59" i="28" s="1"/>
  <c r="Q16" i="43"/>
  <c r="I56" i="28" s="1"/>
  <c r="P17" i="43"/>
  <c r="P18" i="43"/>
  <c r="P19" i="43"/>
  <c r="P16" i="43"/>
  <c r="O16" i="43" s="1"/>
  <c r="T22" i="43" a="1"/>
  <c r="T22" i="43" s="1"/>
  <c r="K51" i="28"/>
  <c r="K42" i="43" a="1"/>
  <c r="K42" i="43" s="1"/>
  <c r="R22" i="43" a="1"/>
  <c r="R22" i="43" s="1"/>
  <c r="Q22" i="43" a="1"/>
  <c r="Q22" i="43" s="1"/>
  <c r="P22" i="43" a="1"/>
  <c r="P22" i="43" s="1"/>
  <c r="C24" i="33"/>
  <c r="L39" i="9"/>
  <c r="K39" i="9"/>
  <c r="I40" i="9"/>
  <c r="I39" i="9" s="1"/>
  <c r="J40" i="9"/>
  <c r="J39" i="9" s="1"/>
  <c r="H40" i="9"/>
  <c r="H39" i="9" s="1"/>
  <c r="K36" i="9"/>
  <c r="L36" i="9"/>
  <c r="I38" i="8"/>
  <c r="J38" i="8"/>
  <c r="K38" i="8"/>
  <c r="H40" i="8"/>
  <c r="L40" i="8" s="1"/>
  <c r="F78" i="41"/>
  <c r="F77" i="41"/>
  <c r="F76" i="41"/>
  <c r="F75" i="41"/>
  <c r="F74" i="41"/>
  <c r="F73" i="41"/>
  <c r="F72" i="41"/>
  <c r="F71" i="41"/>
  <c r="F70" i="41"/>
  <c r="F69" i="41"/>
  <c r="F68" i="41"/>
  <c r="I37" i="9"/>
  <c r="J37" i="9"/>
  <c r="H37" i="9"/>
  <c r="G56" i="28" l="1"/>
  <c r="N16" i="43"/>
  <c r="G55" i="46"/>
  <c r="G58" i="46" s="1"/>
  <c r="H59" i="28"/>
  <c r="O19" i="43"/>
  <c r="C55" i="46"/>
  <c r="C58" i="46" s="1"/>
  <c r="H58" i="28"/>
  <c r="O18" i="43"/>
  <c r="C57" i="8"/>
  <c r="C57" i="51"/>
  <c r="D55" i="46"/>
  <c r="D58" i="46" s="1"/>
  <c r="E55" i="46"/>
  <c r="E58" i="46" s="1"/>
  <c r="L42" i="43"/>
  <c r="F55" i="46"/>
  <c r="F58" i="46" s="1"/>
  <c r="I51" i="28"/>
  <c r="L51" i="28"/>
  <c r="H57" i="28"/>
  <c r="O17" i="43"/>
  <c r="E132" i="28"/>
  <c r="D135" i="28"/>
  <c r="D7" i="9"/>
  <c r="D6" i="9" s="1"/>
  <c r="D66" i="51" s="1"/>
  <c r="C7" i="9"/>
  <c r="C6" i="9" s="1"/>
  <c r="C66" i="51" s="1"/>
  <c r="G40" i="8"/>
  <c r="G38" i="8" s="1"/>
  <c r="G37" i="8" s="1"/>
  <c r="D40" i="8"/>
  <c r="C40" i="8"/>
  <c r="E40" i="8"/>
  <c r="F40" i="8"/>
  <c r="G22" i="44"/>
  <c r="I22" i="44"/>
  <c r="H9" i="8"/>
  <c r="M18" i="44"/>
  <c r="L18" i="44"/>
  <c r="H8" i="8"/>
  <c r="L20" i="44"/>
  <c r="L17" i="44"/>
  <c r="L19" i="44"/>
  <c r="H7" i="8"/>
  <c r="M16" i="44"/>
  <c r="L16" i="44"/>
  <c r="M68" i="9"/>
  <c r="C10" i="28"/>
  <c r="C7" i="28" s="1"/>
  <c r="C92" i="28"/>
  <c r="C5" i="28" s="1"/>
  <c r="E2" i="28"/>
  <c r="E7" i="48" s="1"/>
  <c r="D13" i="28"/>
  <c r="D7" i="7" s="1"/>
  <c r="C62" i="48"/>
  <c r="C42" i="48" s="1"/>
  <c r="C23" i="9"/>
  <c r="C22" i="9" s="1"/>
  <c r="J22" i="44"/>
  <c r="H22" i="44"/>
  <c r="J15" i="44"/>
  <c r="G15" i="44"/>
  <c r="H15" i="44"/>
  <c r="I15" i="44"/>
  <c r="J69" i="9"/>
  <c r="R71" i="28"/>
  <c r="C4" i="28" s="1"/>
  <c r="C134" i="28" s="1"/>
  <c r="S71" i="28"/>
  <c r="D4" i="28" s="1"/>
  <c r="D134" i="28" s="1"/>
  <c r="C13" i="28"/>
  <c r="C7" i="7" s="1"/>
  <c r="D71" i="28"/>
  <c r="D3" i="28" s="1"/>
  <c r="D133" i="28" s="1"/>
  <c r="D81" i="28"/>
  <c r="P15" i="43"/>
  <c r="T15" i="43"/>
  <c r="H56" i="28"/>
  <c r="H55" i="28" s="1"/>
  <c r="Q15" i="43"/>
  <c r="R15" i="43"/>
  <c r="L56" i="28"/>
  <c r="L55" i="28" s="1"/>
  <c r="S81" i="28"/>
  <c r="R102" i="28"/>
  <c r="S102" i="28"/>
  <c r="I55" i="28"/>
  <c r="K55" i="28"/>
  <c r="J55" i="28"/>
  <c r="H51" i="28"/>
  <c r="J51" i="28"/>
  <c r="T25" i="43"/>
  <c r="T24" i="43"/>
  <c r="T23" i="43"/>
  <c r="K54" i="28"/>
  <c r="K53" i="28"/>
  <c r="K52" i="28"/>
  <c r="K45" i="43"/>
  <c r="K44" i="43"/>
  <c r="K43" i="43"/>
  <c r="R25" i="43"/>
  <c r="R24" i="43"/>
  <c r="R23" i="43"/>
  <c r="Q25" i="43"/>
  <c r="Q24" i="43"/>
  <c r="Q23" i="43"/>
  <c r="Q21" i="43" s="1"/>
  <c r="M29" i="43" s="1"/>
  <c r="P25" i="43"/>
  <c r="P24" i="43"/>
  <c r="P23" i="43"/>
  <c r="P21" i="43" s="1"/>
  <c r="L33" i="9"/>
  <c r="K33" i="9"/>
  <c r="J34" i="9"/>
  <c r="J33" i="9" s="1"/>
  <c r="I34" i="9"/>
  <c r="I33" i="9" s="1"/>
  <c r="H34" i="9"/>
  <c r="H33" i="9" s="1"/>
  <c r="C69" i="10" l="1"/>
  <c r="E69" i="10"/>
  <c r="G69" i="10"/>
  <c r="F69" i="10"/>
  <c r="L29" i="43"/>
  <c r="K29" i="43"/>
  <c r="K35" i="43" s="1"/>
  <c r="O22" i="43" s="1"/>
  <c r="R21" i="43"/>
  <c r="N29" i="43" s="1"/>
  <c r="M30" i="43"/>
  <c r="T21" i="43"/>
  <c r="P29" i="43" s="1"/>
  <c r="G58" i="28"/>
  <c r="N18" i="43"/>
  <c r="N19" i="43"/>
  <c r="G59" i="28"/>
  <c r="F56" i="28"/>
  <c r="M16" i="43"/>
  <c r="H54" i="28"/>
  <c r="H50" i="28" s="1"/>
  <c r="K32" i="43"/>
  <c r="K38" i="43" s="1"/>
  <c r="O25" i="43" s="1"/>
  <c r="L32" i="43"/>
  <c r="H52" i="28"/>
  <c r="K30" i="43"/>
  <c r="K36" i="43" s="1"/>
  <c r="O23" i="43" s="1"/>
  <c r="L30" i="43"/>
  <c r="L53" i="28"/>
  <c r="P31" i="43"/>
  <c r="G57" i="28"/>
  <c r="G55" i="28" s="1"/>
  <c r="N55" i="28" s="1"/>
  <c r="N17" i="43"/>
  <c r="D69" i="10"/>
  <c r="I53" i="28"/>
  <c r="M31" i="43"/>
  <c r="H53" i="28"/>
  <c r="K31" i="43"/>
  <c r="K37" i="43" s="1"/>
  <c r="O24" i="43" s="1"/>
  <c r="L31" i="43"/>
  <c r="I54" i="28"/>
  <c r="M32" i="43"/>
  <c r="L54" i="28"/>
  <c r="O15" i="43"/>
  <c r="D132" i="28"/>
  <c r="C135" i="28"/>
  <c r="I30" i="44"/>
  <c r="I29" i="44" s="1"/>
  <c r="J52" i="9" s="1"/>
  <c r="G30" i="44"/>
  <c r="C20" i="44"/>
  <c r="B20" i="44"/>
  <c r="E20" i="44"/>
  <c r="D20" i="44"/>
  <c r="F20" i="44"/>
  <c r="D18" i="44"/>
  <c r="C18" i="44"/>
  <c r="F18" i="44"/>
  <c r="B18" i="44"/>
  <c r="E18" i="44"/>
  <c r="D19" i="44"/>
  <c r="C19" i="44"/>
  <c r="F19" i="44"/>
  <c r="B19" i="44"/>
  <c r="E19" i="44"/>
  <c r="F16" i="44"/>
  <c r="C16" i="44"/>
  <c r="B16" i="44"/>
  <c r="D16" i="44"/>
  <c r="E16" i="44"/>
  <c r="C17" i="44"/>
  <c r="F17" i="44"/>
  <c r="B17" i="44"/>
  <c r="E17" i="44"/>
  <c r="D17" i="44"/>
  <c r="D68" i="9"/>
  <c r="E68" i="9"/>
  <c r="C68" i="9"/>
  <c r="F68" i="9"/>
  <c r="G68" i="9"/>
  <c r="R81" i="28"/>
  <c r="D2" i="28"/>
  <c r="D7" i="48" s="1"/>
  <c r="F38" i="8"/>
  <c r="F37" i="8" s="1"/>
  <c r="H30" i="44"/>
  <c r="H29" i="44" s="1"/>
  <c r="I52" i="9" s="1"/>
  <c r="C81" i="28"/>
  <c r="C71" i="28"/>
  <c r="C3" i="28" s="1"/>
  <c r="C133" i="28" s="1"/>
  <c r="C132" i="28" s="1"/>
  <c r="K41" i="43"/>
  <c r="K50" i="28"/>
  <c r="K47" i="9" s="1"/>
  <c r="L43" i="43"/>
  <c r="J52" i="28"/>
  <c r="H52" i="7"/>
  <c r="I52" i="28"/>
  <c r="I52" i="7"/>
  <c r="L44" i="43"/>
  <c r="J53" i="28"/>
  <c r="L52" i="28"/>
  <c r="L45" i="43"/>
  <c r="J54" i="28"/>
  <c r="K52" i="7"/>
  <c r="L30" i="9"/>
  <c r="L26" i="9" s="1"/>
  <c r="K30" i="9"/>
  <c r="K26" i="9" s="1"/>
  <c r="L27" i="9"/>
  <c r="K27" i="9"/>
  <c r="J28" i="9"/>
  <c r="I28" i="9"/>
  <c r="H28" i="9"/>
  <c r="E23" i="38"/>
  <c r="F23" i="38"/>
  <c r="E19" i="38"/>
  <c r="F19" i="38"/>
  <c r="F18" i="38" s="1"/>
  <c r="J30" i="8"/>
  <c r="K30" i="8"/>
  <c r="J31" i="8"/>
  <c r="K31" i="8"/>
  <c r="J32" i="8"/>
  <c r="K32" i="8"/>
  <c r="J33" i="8"/>
  <c r="K33" i="8"/>
  <c r="J34" i="8"/>
  <c r="K34" i="8"/>
  <c r="J35" i="8"/>
  <c r="K35" i="8"/>
  <c r="J36" i="8"/>
  <c r="K36" i="8"/>
  <c r="I5" i="38"/>
  <c r="J5" i="38"/>
  <c r="B101" i="37"/>
  <c r="B100" i="37"/>
  <c r="K18" i="37"/>
  <c r="J18" i="37"/>
  <c r="I18" i="37"/>
  <c r="H18" i="37"/>
  <c r="G18" i="37"/>
  <c r="K23" i="37"/>
  <c r="L10" i="9" s="1"/>
  <c r="J23" i="37"/>
  <c r="K10" i="9" s="1"/>
  <c r="I23" i="37"/>
  <c r="J10" i="9" s="1"/>
  <c r="H23" i="37"/>
  <c r="I10" i="9" s="1"/>
  <c r="G23" i="37"/>
  <c r="G22" i="37" s="1"/>
  <c r="H22" i="37"/>
  <c r="I22" i="37"/>
  <c r="J22" i="37"/>
  <c r="K22" i="37"/>
  <c r="J78" i="37"/>
  <c r="I78" i="37"/>
  <c r="H78" i="37"/>
  <c r="G78" i="37"/>
  <c r="J80" i="37"/>
  <c r="I80" i="37"/>
  <c r="H80" i="37"/>
  <c r="G80" i="37"/>
  <c r="J73" i="37"/>
  <c r="I73" i="37"/>
  <c r="H73" i="37"/>
  <c r="G73" i="37"/>
  <c r="J70" i="37"/>
  <c r="I70" i="37"/>
  <c r="I69" i="37" s="1"/>
  <c r="H70" i="37"/>
  <c r="H69" i="37" s="1"/>
  <c r="G70" i="37"/>
  <c r="G69" i="37" s="1"/>
  <c r="K93" i="37"/>
  <c r="J87" i="37" s="1"/>
  <c r="J93" i="37" s="1"/>
  <c r="I87" i="37" s="1"/>
  <c r="I93" i="37" s="1"/>
  <c r="H87" i="37" s="1"/>
  <c r="H93" i="37" s="1"/>
  <c r="G87" i="37" s="1"/>
  <c r="G93" i="37" s="1"/>
  <c r="I58" i="37"/>
  <c r="J58" i="37"/>
  <c r="I50" i="37"/>
  <c r="I49" i="37" s="1"/>
  <c r="J50" i="37"/>
  <c r="J49" i="37" s="1"/>
  <c r="G50" i="37"/>
  <c r="G49" i="37" s="1"/>
  <c r="I50" i="28" l="1"/>
  <c r="I47" i="9" s="1"/>
  <c r="E56" i="28"/>
  <c r="L16" i="43"/>
  <c r="M19" i="43"/>
  <c r="F59" i="28"/>
  <c r="P30" i="43"/>
  <c r="N30" i="43"/>
  <c r="M24" i="43"/>
  <c r="G53" i="28"/>
  <c r="N24" i="43"/>
  <c r="F53" i="28" s="1"/>
  <c r="L52" i="7"/>
  <c r="M17" i="43"/>
  <c r="M15" i="43" s="1"/>
  <c r="F57" i="28"/>
  <c r="N32" i="43"/>
  <c r="F58" i="28"/>
  <c r="F55" i="28" s="1"/>
  <c r="M18" i="43"/>
  <c r="N31" i="43"/>
  <c r="N22" i="43"/>
  <c r="G51" i="28"/>
  <c r="G50" i="28" s="1"/>
  <c r="G47" i="9" s="1"/>
  <c r="O21" i="43"/>
  <c r="G52" i="28"/>
  <c r="N23" i="43"/>
  <c r="L50" i="28"/>
  <c r="L47" i="9" s="1"/>
  <c r="P32" i="43"/>
  <c r="G54" i="28"/>
  <c r="N25" i="43"/>
  <c r="N15" i="43"/>
  <c r="C2" i="28"/>
  <c r="Q3" i="28" s="1"/>
  <c r="H47" i="9"/>
  <c r="G8" i="8"/>
  <c r="F24" i="44"/>
  <c r="B23" i="44"/>
  <c r="C7" i="8"/>
  <c r="B15" i="44"/>
  <c r="C10" i="8"/>
  <c r="B26" i="44"/>
  <c r="E25" i="44"/>
  <c r="F9" i="8"/>
  <c r="D25" i="44"/>
  <c r="E9" i="8"/>
  <c r="C11" i="8"/>
  <c r="B27" i="44"/>
  <c r="E8" i="8"/>
  <c r="D24" i="44"/>
  <c r="C24" i="44"/>
  <c r="D8" i="8"/>
  <c r="C23" i="44"/>
  <c r="C15" i="44"/>
  <c r="D7" i="8"/>
  <c r="G10" i="8"/>
  <c r="F26" i="44"/>
  <c r="B25" i="44"/>
  <c r="C9" i="8"/>
  <c r="G11" i="8"/>
  <c r="F27" i="44"/>
  <c r="D11" i="8"/>
  <c r="C27" i="44"/>
  <c r="F8" i="8"/>
  <c r="E24" i="44"/>
  <c r="E23" i="44"/>
  <c r="E15" i="44"/>
  <c r="F7" i="8"/>
  <c r="F23" i="44"/>
  <c r="F15" i="44"/>
  <c r="G7" i="8"/>
  <c r="D10" i="8"/>
  <c r="C26" i="44"/>
  <c r="F25" i="44"/>
  <c r="G9" i="8"/>
  <c r="D27" i="44"/>
  <c r="E11" i="8"/>
  <c r="M30" i="44"/>
  <c r="L30" i="44"/>
  <c r="C8" i="8"/>
  <c r="B24" i="44"/>
  <c r="D23" i="44"/>
  <c r="D15" i="44"/>
  <c r="E7" i="8"/>
  <c r="E26" i="44"/>
  <c r="F10" i="8"/>
  <c r="E10" i="8"/>
  <c r="D26" i="44"/>
  <c r="C25" i="44"/>
  <c r="D9" i="8"/>
  <c r="F11" i="8"/>
  <c r="E27" i="44"/>
  <c r="G29" i="44"/>
  <c r="H52" i="9" s="1"/>
  <c r="J69" i="37"/>
  <c r="H27" i="9"/>
  <c r="I27" i="9"/>
  <c r="J27" i="9"/>
  <c r="E38" i="8"/>
  <c r="E37" i="8" s="1"/>
  <c r="F17" i="38"/>
  <c r="K35" i="38"/>
  <c r="K38" i="38" s="1"/>
  <c r="L11" i="9" s="1"/>
  <c r="E18" i="38"/>
  <c r="B99" i="37"/>
  <c r="B103" i="37" s="1"/>
  <c r="H5" i="9" s="1"/>
  <c r="J50" i="28"/>
  <c r="J47" i="9" s="1"/>
  <c r="J52" i="7"/>
  <c r="L41" i="43"/>
  <c r="H77" i="37"/>
  <c r="I77" i="37"/>
  <c r="J77" i="37"/>
  <c r="J48" i="37"/>
  <c r="G77" i="37"/>
  <c r="I48" i="37"/>
  <c r="H10" i="9"/>
  <c r="C57" i="41"/>
  <c r="L41" i="41"/>
  <c r="J41" i="41"/>
  <c r="K46" i="41" s="1"/>
  <c r="J40" i="41"/>
  <c r="J39" i="41"/>
  <c r="J38" i="41"/>
  <c r="M4" i="41"/>
  <c r="M3" i="41"/>
  <c r="M8" i="41"/>
  <c r="M7" i="41"/>
  <c r="M6" i="41"/>
  <c r="M12" i="41"/>
  <c r="M11" i="41"/>
  <c r="M10" i="41"/>
  <c r="J43" i="41" s="1"/>
  <c r="M25" i="41"/>
  <c r="M24" i="41"/>
  <c r="M23" i="41"/>
  <c r="M22" i="41"/>
  <c r="M15" i="41"/>
  <c r="M16" i="41"/>
  <c r="M17" i="41"/>
  <c r="M18" i="41"/>
  <c r="M19" i="41"/>
  <c r="M20" i="41"/>
  <c r="M14" i="41"/>
  <c r="K41" i="41"/>
  <c r="L46" i="41" s="1"/>
  <c r="L40" i="41"/>
  <c r="K40" i="41"/>
  <c r="L39" i="41"/>
  <c r="K39" i="41"/>
  <c r="L38" i="41"/>
  <c r="K38" i="41"/>
  <c r="K34" i="41"/>
  <c r="K33" i="41"/>
  <c r="L33" i="41"/>
  <c r="L35" i="41"/>
  <c r="L67" i="9" s="1"/>
  <c r="L69" i="9" s="1"/>
  <c r="L34" i="41"/>
  <c r="J34" i="41"/>
  <c r="J33" i="41"/>
  <c r="K35" i="41"/>
  <c r="K67" i="9" s="1"/>
  <c r="K69" i="9" s="1"/>
  <c r="I43" i="41" l="1"/>
  <c r="N50" i="28"/>
  <c r="M25" i="43"/>
  <c r="F54" i="28"/>
  <c r="M23" i="43"/>
  <c r="F52" i="28"/>
  <c r="F51" i="28"/>
  <c r="M22" i="43"/>
  <c r="N21" i="43"/>
  <c r="D56" i="28"/>
  <c r="K16" i="43"/>
  <c r="L24" i="43"/>
  <c r="E53" i="28"/>
  <c r="D22" i="44"/>
  <c r="L17" i="43"/>
  <c r="E57" i="28"/>
  <c r="E55" i="28" s="1"/>
  <c r="E59" i="28"/>
  <c r="L19" i="43"/>
  <c r="L43" i="41"/>
  <c r="K37" i="41"/>
  <c r="L18" i="43"/>
  <c r="E58" i="28"/>
  <c r="C7" i="48"/>
  <c r="Q6" i="28"/>
  <c r="Q5" i="28"/>
  <c r="Q4" i="28"/>
  <c r="C30" i="44"/>
  <c r="C29" i="44" s="1"/>
  <c r="D52" i="9" s="1"/>
  <c r="B30" i="44"/>
  <c r="B29" i="44" s="1"/>
  <c r="C52" i="9" s="1"/>
  <c r="D30" i="44"/>
  <c r="D29" i="44" s="1"/>
  <c r="E52" i="9" s="1"/>
  <c r="E30" i="44"/>
  <c r="E29" i="44" s="1"/>
  <c r="F52" i="9" s="1"/>
  <c r="G6" i="8"/>
  <c r="D6" i="8"/>
  <c r="C6" i="8"/>
  <c r="F30" i="44"/>
  <c r="F29" i="44" s="1"/>
  <c r="G52" i="9" s="1"/>
  <c r="E22" i="44"/>
  <c r="B22" i="44"/>
  <c r="F22" i="44"/>
  <c r="C22" i="44"/>
  <c r="E6" i="8"/>
  <c r="F6" i="8"/>
  <c r="C38" i="8"/>
  <c r="C37" i="8" s="1"/>
  <c r="D38" i="8"/>
  <c r="D37" i="8" s="1"/>
  <c r="E17" i="38"/>
  <c r="J35" i="38"/>
  <c r="J38" i="38" s="1"/>
  <c r="K11" i="9" s="1"/>
  <c r="H43" i="41"/>
  <c r="K43" i="41"/>
  <c r="L37" i="41"/>
  <c r="L32" i="41"/>
  <c r="L31" i="41" s="1"/>
  <c r="L49" i="41" s="1"/>
  <c r="L50" i="41" s="1"/>
  <c r="K32" i="41"/>
  <c r="K31" i="41" s="1"/>
  <c r="K49" i="41" s="1"/>
  <c r="K50" i="41" s="1"/>
  <c r="I41" i="41"/>
  <c r="J46" i="41" s="1"/>
  <c r="J32" i="41"/>
  <c r="I40" i="41"/>
  <c r="I39" i="41"/>
  <c r="I38" i="41"/>
  <c r="H41" i="41"/>
  <c r="H40" i="41"/>
  <c r="H39" i="41"/>
  <c r="H38" i="41"/>
  <c r="I35" i="41"/>
  <c r="I67" i="9" s="1"/>
  <c r="I69" i="9" s="1"/>
  <c r="I34" i="41"/>
  <c r="M34" i="41" s="1"/>
  <c r="I33" i="41"/>
  <c r="H33" i="41"/>
  <c r="F50" i="28" l="1"/>
  <c r="F47" i="9" s="1"/>
  <c r="K24" i="43"/>
  <c r="C53" i="28" s="1"/>
  <c r="D53" i="28"/>
  <c r="K17" i="43"/>
  <c r="C57" i="28" s="1"/>
  <c r="D57" i="28"/>
  <c r="L15" i="43"/>
  <c r="E51" i="28"/>
  <c r="L22" i="43"/>
  <c r="M21" i="43"/>
  <c r="K19" i="43"/>
  <c r="C59" i="28" s="1"/>
  <c r="D59" i="28"/>
  <c r="C56" i="28"/>
  <c r="L25" i="43"/>
  <c r="E54" i="28"/>
  <c r="L23" i="43"/>
  <c r="E52" i="28"/>
  <c r="H32" i="41"/>
  <c r="H31" i="41" s="1"/>
  <c r="H49" i="41" s="1"/>
  <c r="M33" i="41"/>
  <c r="G33" i="41" s="1"/>
  <c r="G34" i="41"/>
  <c r="C34" i="41"/>
  <c r="F34" i="41"/>
  <c r="E34" i="41"/>
  <c r="D34" i="41"/>
  <c r="K18" i="43"/>
  <c r="C58" i="28" s="1"/>
  <c r="D58" i="28"/>
  <c r="H50" i="41"/>
  <c r="J31" i="41"/>
  <c r="J49" i="41" s="1"/>
  <c r="J50" i="41" s="1"/>
  <c r="I32" i="41"/>
  <c r="I31" i="41" s="1"/>
  <c r="I49" i="41" s="1"/>
  <c r="I50" i="41" s="1"/>
  <c r="J37" i="41"/>
  <c r="H37" i="41"/>
  <c r="I37" i="41"/>
  <c r="H28" i="37"/>
  <c r="I28" i="37"/>
  <c r="J28" i="37"/>
  <c r="K28" i="37"/>
  <c r="H29" i="37"/>
  <c r="I29" i="37"/>
  <c r="J29" i="37"/>
  <c r="K29" i="37"/>
  <c r="H30" i="37"/>
  <c r="I34" i="7" s="1"/>
  <c r="I30" i="37"/>
  <c r="J34" i="7" s="1"/>
  <c r="J30" i="37"/>
  <c r="K34" i="7" s="1"/>
  <c r="K30" i="37"/>
  <c r="L34" i="7" s="1"/>
  <c r="G29" i="37"/>
  <c r="G30" i="37"/>
  <c r="H34" i="7" s="1"/>
  <c r="G28" i="37"/>
  <c r="C55" i="28" l="1"/>
  <c r="M50" i="41"/>
  <c r="D55" i="28"/>
  <c r="F33" i="41"/>
  <c r="G32" i="41"/>
  <c r="K23" i="43"/>
  <c r="C52" i="28" s="1"/>
  <c r="D52" i="28"/>
  <c r="K15" i="43"/>
  <c r="D51" i="28"/>
  <c r="K22" i="43"/>
  <c r="L21" i="43"/>
  <c r="E50" i="28"/>
  <c r="E47" i="9" s="1"/>
  <c r="M49" i="41"/>
  <c r="K25" i="43"/>
  <c r="C54" i="28" s="1"/>
  <c r="D54" i="28"/>
  <c r="J32" i="7"/>
  <c r="I36" i="37"/>
  <c r="I41" i="37"/>
  <c r="I31" i="37"/>
  <c r="I33" i="7"/>
  <c r="H37" i="37"/>
  <c r="H42" i="37"/>
  <c r="I32" i="7"/>
  <c r="H36" i="37"/>
  <c r="H41" i="37"/>
  <c r="H31" i="37"/>
  <c r="J33" i="7"/>
  <c r="I37" i="37"/>
  <c r="I42" i="37"/>
  <c r="L33" i="7"/>
  <c r="K37" i="37"/>
  <c r="K42" i="37"/>
  <c r="L32" i="7"/>
  <c r="K41" i="37"/>
  <c r="K36" i="37"/>
  <c r="K31" i="37"/>
  <c r="K33" i="7"/>
  <c r="J37" i="37"/>
  <c r="J42" i="37"/>
  <c r="K32" i="7"/>
  <c r="J36" i="37"/>
  <c r="J41" i="37"/>
  <c r="J31" i="37"/>
  <c r="H32" i="7"/>
  <c r="H31" i="7" s="1"/>
  <c r="L36" i="37"/>
  <c r="G36" i="37"/>
  <c r="G41" i="37"/>
  <c r="L41" i="37"/>
  <c r="G31" i="37"/>
  <c r="H33" i="7"/>
  <c r="L42" i="37"/>
  <c r="G42" i="37"/>
  <c r="L37" i="37"/>
  <c r="G37" i="37"/>
  <c r="L31" i="7"/>
  <c r="I165" i="28" s="1"/>
  <c r="K31" i="7"/>
  <c r="H165" i="28" s="1"/>
  <c r="L8" i="37"/>
  <c r="H7" i="37"/>
  <c r="I7" i="37"/>
  <c r="J7" i="37"/>
  <c r="K7" i="37"/>
  <c r="H8" i="37"/>
  <c r="I8" i="37"/>
  <c r="J8" i="37"/>
  <c r="K8" i="37"/>
  <c r="G8" i="37"/>
  <c r="G7" i="37"/>
  <c r="L24" i="28"/>
  <c r="AA105" i="28"/>
  <c r="Z105" i="28"/>
  <c r="Y105" i="28"/>
  <c r="X105" i="28"/>
  <c r="W105" i="28"/>
  <c r="L105" i="28"/>
  <c r="K105" i="28"/>
  <c r="J105" i="28"/>
  <c r="I105" i="28"/>
  <c r="H105" i="28"/>
  <c r="AA84" i="28"/>
  <c r="Z84" i="28"/>
  <c r="Y84" i="28"/>
  <c r="X84" i="28"/>
  <c r="W84" i="28"/>
  <c r="I84" i="28"/>
  <c r="J84" i="28"/>
  <c r="K84" i="28"/>
  <c r="L84" i="28"/>
  <c r="H84" i="28"/>
  <c r="H102" i="28"/>
  <c r="H101" i="28" s="1"/>
  <c r="W81" i="28"/>
  <c r="W80" i="28" s="1"/>
  <c r="H80" i="28"/>
  <c r="I184" i="28"/>
  <c r="H184" i="28"/>
  <c r="G184" i="28"/>
  <c r="F184" i="28"/>
  <c r="C184" i="28"/>
  <c r="X102" i="28"/>
  <c r="X101" i="28" s="1"/>
  <c r="Y102" i="28"/>
  <c r="Y101" i="28" s="1"/>
  <c r="Z102" i="28"/>
  <c r="Z101" i="28" s="1"/>
  <c r="AA102" i="28"/>
  <c r="AA101" i="28" s="1"/>
  <c r="I102" i="28"/>
  <c r="I101" i="28" s="1"/>
  <c r="J102" i="28"/>
  <c r="J101" i="28" s="1"/>
  <c r="K102" i="28"/>
  <c r="K101" i="28" s="1"/>
  <c r="L102" i="28"/>
  <c r="L101" i="28" s="1"/>
  <c r="X81" i="28"/>
  <c r="X80" i="28" s="1"/>
  <c r="Y81" i="28"/>
  <c r="Y80" i="28" s="1"/>
  <c r="Z81" i="28"/>
  <c r="Z80" i="28" s="1"/>
  <c r="AA81" i="28"/>
  <c r="AA80" i="28" s="1"/>
  <c r="I81" i="28"/>
  <c r="I80" i="28" s="1"/>
  <c r="J81" i="28"/>
  <c r="J80" i="28" s="1"/>
  <c r="K81" i="28"/>
  <c r="K80" i="28" s="1"/>
  <c r="L81" i="28"/>
  <c r="L80" i="28" s="1"/>
  <c r="W102" i="28"/>
  <c r="W101" i="28" s="1"/>
  <c r="F167" i="28"/>
  <c r="G167" i="28"/>
  <c r="H167" i="28"/>
  <c r="I167" i="28"/>
  <c r="C167" i="28"/>
  <c r="F163" i="28"/>
  <c r="G163" i="28"/>
  <c r="H163" i="28"/>
  <c r="I163" i="28"/>
  <c r="C163" i="28"/>
  <c r="I126" i="28"/>
  <c r="F149" i="28" s="1"/>
  <c r="J126" i="28"/>
  <c r="E149" i="28" s="1"/>
  <c r="K126" i="28"/>
  <c r="D149" i="28" s="1"/>
  <c r="L126" i="28"/>
  <c r="C149" i="28" s="1"/>
  <c r="I127" i="28"/>
  <c r="F150" i="28" s="1"/>
  <c r="J127" i="28"/>
  <c r="E150" i="28" s="1"/>
  <c r="K127" i="28"/>
  <c r="D150" i="28" s="1"/>
  <c r="L127" i="28"/>
  <c r="C150" i="28" s="1"/>
  <c r="I128" i="28"/>
  <c r="F151" i="28" s="1"/>
  <c r="J128" i="28"/>
  <c r="E151" i="28" s="1"/>
  <c r="K128" i="28"/>
  <c r="D151" i="28" s="1"/>
  <c r="L128" i="28"/>
  <c r="C151" i="28" s="1"/>
  <c r="I130" i="28"/>
  <c r="F161" i="28" s="1"/>
  <c r="J130" i="28"/>
  <c r="G161" i="28" s="1"/>
  <c r="K130" i="28"/>
  <c r="H161" i="28" s="1"/>
  <c r="L130" i="28"/>
  <c r="I161" i="28" s="1"/>
  <c r="H130" i="28"/>
  <c r="C161" i="28" s="1"/>
  <c r="H128" i="28"/>
  <c r="G151" i="28" s="1"/>
  <c r="H127" i="28"/>
  <c r="G150" i="28" s="1"/>
  <c r="H126" i="28"/>
  <c r="G149" i="28" s="1"/>
  <c r="I12" i="28"/>
  <c r="J12" i="28"/>
  <c r="K12" i="28"/>
  <c r="L12" i="28"/>
  <c r="H12" i="28"/>
  <c r="K5" i="37"/>
  <c r="J5" i="37"/>
  <c r="H5" i="37"/>
  <c r="I5" i="37"/>
  <c r="J17" i="37"/>
  <c r="K17" i="37"/>
  <c r="L12" i="7"/>
  <c r="K12" i="7"/>
  <c r="J12" i="7"/>
  <c r="I12" i="7"/>
  <c r="H12" i="7"/>
  <c r="L29" i="7"/>
  <c r="L21" i="7" s="1"/>
  <c r="J21" i="7"/>
  <c r="I21" i="7"/>
  <c r="H21" i="7"/>
  <c r="K29" i="7"/>
  <c r="I22" i="28"/>
  <c r="J22" i="28"/>
  <c r="K22" i="28"/>
  <c r="L22" i="28"/>
  <c r="H22" i="28"/>
  <c r="J39" i="28"/>
  <c r="J38" i="28"/>
  <c r="J78" i="28"/>
  <c r="J34" i="28" s="1"/>
  <c r="I125" i="28"/>
  <c r="F148" i="28" s="1"/>
  <c r="J125" i="28"/>
  <c r="E148" i="28" s="1"/>
  <c r="K125" i="28"/>
  <c r="D148" i="28" s="1"/>
  <c r="D147" i="28" s="1"/>
  <c r="L125" i="28"/>
  <c r="C148" i="28" s="1"/>
  <c r="C147" i="28" s="1"/>
  <c r="H125" i="28"/>
  <c r="G148" i="28" s="1"/>
  <c r="L34" i="28"/>
  <c r="L35" i="28"/>
  <c r="L36" i="28"/>
  <c r="L37" i="28"/>
  <c r="L29" i="28"/>
  <c r="L31" i="28"/>
  <c r="L23" i="28"/>
  <c r="L9" i="7" s="1"/>
  <c r="L16" i="9" s="1"/>
  <c r="L15" i="9" s="1"/>
  <c r="I14" i="28"/>
  <c r="J14" i="28"/>
  <c r="K14" i="28"/>
  <c r="L14" i="28"/>
  <c r="I15" i="28"/>
  <c r="J15" i="28"/>
  <c r="K15" i="28"/>
  <c r="L15" i="28"/>
  <c r="I16" i="28"/>
  <c r="J16" i="28"/>
  <c r="K16" i="28"/>
  <c r="L16" i="28"/>
  <c r="I17" i="28"/>
  <c r="J17" i="28"/>
  <c r="K17" i="28"/>
  <c r="L17" i="28"/>
  <c r="I19" i="28"/>
  <c r="J19" i="28"/>
  <c r="K19" i="28"/>
  <c r="L19" i="28"/>
  <c r="I20" i="28"/>
  <c r="J20" i="28"/>
  <c r="K20" i="28"/>
  <c r="L20" i="28"/>
  <c r="I21" i="28"/>
  <c r="J21" i="28"/>
  <c r="K21" i="28"/>
  <c r="L21" i="28"/>
  <c r="I6" i="28"/>
  <c r="J6" i="28"/>
  <c r="K6" i="28"/>
  <c r="L6" i="28"/>
  <c r="H6" i="28"/>
  <c r="H5" i="28"/>
  <c r="J4" i="28"/>
  <c r="K4" i="28"/>
  <c r="L4" i="28"/>
  <c r="I4" i="28"/>
  <c r="H4" i="28"/>
  <c r="K3" i="28"/>
  <c r="L3" i="28"/>
  <c r="I3" i="28"/>
  <c r="J3" i="28"/>
  <c r="H3" i="28"/>
  <c r="I41" i="28"/>
  <c r="J41" i="28"/>
  <c r="K41" i="28"/>
  <c r="L41" i="28"/>
  <c r="I42" i="28"/>
  <c r="J42" i="28"/>
  <c r="K42" i="28"/>
  <c r="L42" i="28"/>
  <c r="I43" i="28"/>
  <c r="J43" i="28"/>
  <c r="K43" i="28"/>
  <c r="L43" i="28"/>
  <c r="I44" i="28"/>
  <c r="J44" i="28"/>
  <c r="K44" i="28"/>
  <c r="L44" i="28"/>
  <c r="H44" i="28"/>
  <c r="H43" i="28"/>
  <c r="H42" i="28"/>
  <c r="H41" i="28"/>
  <c r="I34" i="28"/>
  <c r="K34" i="28"/>
  <c r="I35" i="28"/>
  <c r="J35" i="28"/>
  <c r="K35" i="28"/>
  <c r="I36" i="28"/>
  <c r="J36" i="28"/>
  <c r="K36" i="28"/>
  <c r="I37" i="28"/>
  <c r="J37" i="28"/>
  <c r="K37" i="28"/>
  <c r="H37" i="28"/>
  <c r="H36" i="28"/>
  <c r="H35" i="28"/>
  <c r="H34" i="28"/>
  <c r="I31" i="28"/>
  <c r="J31" i="28"/>
  <c r="K31" i="28"/>
  <c r="H31" i="28"/>
  <c r="I29" i="28"/>
  <c r="I28" i="28" s="1"/>
  <c r="I10" i="7" s="1"/>
  <c r="I18" i="9" s="1"/>
  <c r="J29" i="28"/>
  <c r="J28" i="28" s="1"/>
  <c r="J10" i="7" s="1"/>
  <c r="J18" i="9" s="1"/>
  <c r="K29" i="28"/>
  <c r="K28" i="28" s="1"/>
  <c r="K10" i="7" s="1"/>
  <c r="K18" i="9" s="1"/>
  <c r="H29" i="28"/>
  <c r="H28" i="28" s="1"/>
  <c r="I24" i="28"/>
  <c r="I23" i="28" s="1"/>
  <c r="I9" i="7" s="1"/>
  <c r="I16" i="9" s="1"/>
  <c r="I15" i="9" s="1"/>
  <c r="J24" i="28"/>
  <c r="J23" i="28" s="1"/>
  <c r="J9" i="7" s="1"/>
  <c r="J16" i="9" s="1"/>
  <c r="J15" i="9" s="1"/>
  <c r="K24" i="28"/>
  <c r="K23" i="28" s="1"/>
  <c r="K9" i="7" s="1"/>
  <c r="K16" i="9" s="1"/>
  <c r="K15" i="9" s="1"/>
  <c r="H24" i="28"/>
  <c r="H23" i="28" s="1"/>
  <c r="K10" i="28"/>
  <c r="K135" i="28" s="1"/>
  <c r="D143" i="28" s="1"/>
  <c r="L10" i="28"/>
  <c r="L135" i="28" s="1"/>
  <c r="C143" i="28" s="1"/>
  <c r="K11" i="28"/>
  <c r="L11" i="28"/>
  <c r="K9" i="28"/>
  <c r="L9" i="28"/>
  <c r="H21" i="28"/>
  <c r="H20" i="28"/>
  <c r="H19" i="28"/>
  <c r="L46" i="28"/>
  <c r="L47" i="28"/>
  <c r="L48" i="28"/>
  <c r="L49" i="28"/>
  <c r="K47" i="28"/>
  <c r="K8" i="28"/>
  <c r="L8" i="28"/>
  <c r="H17" i="28"/>
  <c r="H16" i="28"/>
  <c r="H15" i="28"/>
  <c r="H14" i="28"/>
  <c r="J31" i="7" l="1"/>
  <c r="I31" i="7"/>
  <c r="G147" i="28"/>
  <c r="E147" i="28"/>
  <c r="F147" i="28"/>
  <c r="K21" i="43"/>
  <c r="C51" i="28"/>
  <c r="C50" i="28" s="1"/>
  <c r="C47" i="9" s="1"/>
  <c r="E49" i="41"/>
  <c r="D49" i="41"/>
  <c r="C49" i="41"/>
  <c r="F49" i="41"/>
  <c r="F50" i="41" s="1"/>
  <c r="F48" i="41" s="1"/>
  <c r="G49" i="41"/>
  <c r="D50" i="28"/>
  <c r="D47" i="9" s="1"/>
  <c r="E33" i="41"/>
  <c r="F32" i="41"/>
  <c r="L133" i="28"/>
  <c r="C141" i="28" s="1"/>
  <c r="P126" i="28"/>
  <c r="K133" i="28"/>
  <c r="D141" i="28" s="1"/>
  <c r="K134" i="28"/>
  <c r="D142" i="28" s="1"/>
  <c r="L136" i="28"/>
  <c r="C144" i="28" s="1"/>
  <c r="K136" i="28"/>
  <c r="D144" i="28" s="1"/>
  <c r="P127" i="28"/>
  <c r="L134" i="28"/>
  <c r="P128" i="28"/>
  <c r="N101" i="28"/>
  <c r="M101" i="28"/>
  <c r="AC101" i="28"/>
  <c r="AB101" i="28"/>
  <c r="H9" i="7"/>
  <c r="H16" i="9" s="1"/>
  <c r="H15" i="9" s="1"/>
  <c r="N23" i="28"/>
  <c r="H10" i="7"/>
  <c r="H18" i="9" s="1"/>
  <c r="N28" i="28"/>
  <c r="M80" i="28"/>
  <c r="N80" i="28"/>
  <c r="AB80" i="28"/>
  <c r="AC80" i="28"/>
  <c r="G79" i="48"/>
  <c r="G80" i="48"/>
  <c r="E80" i="48"/>
  <c r="E79" i="48"/>
  <c r="F79" i="48"/>
  <c r="F80" i="48"/>
  <c r="D80" i="48"/>
  <c r="D79" i="48"/>
  <c r="H80" i="48"/>
  <c r="H79" i="48"/>
  <c r="K21" i="7"/>
  <c r="M29" i="7"/>
  <c r="I124" i="28"/>
  <c r="I123" i="28" s="1"/>
  <c r="G179" i="28"/>
  <c r="J61" i="28"/>
  <c r="G181" i="28"/>
  <c r="J63" i="28"/>
  <c r="C182" i="28"/>
  <c r="H64" i="28"/>
  <c r="F179" i="28"/>
  <c r="I61" i="28"/>
  <c r="F180" i="28"/>
  <c r="I62" i="28"/>
  <c r="F181" i="28"/>
  <c r="I63" i="28"/>
  <c r="F182" i="28"/>
  <c r="I64" i="28"/>
  <c r="C181" i="28"/>
  <c r="H63" i="28"/>
  <c r="G182" i="28"/>
  <c r="J64" i="28"/>
  <c r="I179" i="28"/>
  <c r="L61" i="28"/>
  <c r="I180" i="28"/>
  <c r="L62" i="28"/>
  <c r="I181" i="28"/>
  <c r="L63" i="28"/>
  <c r="I182" i="28"/>
  <c r="L64" i="28"/>
  <c r="G180" i="28"/>
  <c r="J62" i="28"/>
  <c r="C180" i="28"/>
  <c r="H62" i="28"/>
  <c r="L45" i="28"/>
  <c r="L7" i="9" s="1"/>
  <c r="L6" i="9" s="1"/>
  <c r="H179" i="28"/>
  <c r="K61" i="28"/>
  <c r="H180" i="28"/>
  <c r="K62" i="28"/>
  <c r="H181" i="28"/>
  <c r="K63" i="28"/>
  <c r="H182" i="28"/>
  <c r="K64" i="28"/>
  <c r="C179" i="28"/>
  <c r="H61" i="28"/>
  <c r="K16" i="37"/>
  <c r="K34" i="37" s="1"/>
  <c r="J16" i="37"/>
  <c r="J34" i="37" s="1"/>
  <c r="L28" i="28"/>
  <c r="L10" i="7" s="1"/>
  <c r="L18" i="9" s="1"/>
  <c r="H18" i="28"/>
  <c r="K18" i="28"/>
  <c r="K8" i="7" s="1"/>
  <c r="K124" i="28"/>
  <c r="K123" i="28" s="1"/>
  <c r="H124" i="28"/>
  <c r="L124" i="28"/>
  <c r="L123" i="28" s="1"/>
  <c r="J124" i="28"/>
  <c r="J123" i="28" s="1"/>
  <c r="J33" i="28"/>
  <c r="H13" i="28"/>
  <c r="K13" i="28"/>
  <c r="K7" i="7" s="1"/>
  <c r="J18" i="28"/>
  <c r="J8" i="7" s="1"/>
  <c r="J13" i="28"/>
  <c r="J7" i="7" s="1"/>
  <c r="L13" i="28"/>
  <c r="L7" i="7" s="1"/>
  <c r="I18" i="28"/>
  <c r="I8" i="7" s="1"/>
  <c r="I13" i="28"/>
  <c r="I7" i="7" s="1"/>
  <c r="K40" i="28"/>
  <c r="K19" i="7" s="1"/>
  <c r="L18" i="28"/>
  <c r="L8" i="7" s="1"/>
  <c r="H33" i="28"/>
  <c r="H40" i="28"/>
  <c r="I33" i="28"/>
  <c r="I11" i="7" s="1"/>
  <c r="I20" i="9" s="1"/>
  <c r="I19" i="9" s="1"/>
  <c r="J40" i="28"/>
  <c r="J19" i="7" s="1"/>
  <c r="L33" i="28"/>
  <c r="L11" i="7" s="1"/>
  <c r="L20" i="9" s="1"/>
  <c r="L19" i="9" s="1"/>
  <c r="L40" i="28"/>
  <c r="L19" i="7" s="1"/>
  <c r="K33" i="28"/>
  <c r="K11" i="7" s="1"/>
  <c r="K20" i="9" s="1"/>
  <c r="K19" i="9" s="1"/>
  <c r="I40" i="28"/>
  <c r="I19" i="7" s="1"/>
  <c r="J46" i="28"/>
  <c r="I46" i="28"/>
  <c r="K46" i="28"/>
  <c r="I47" i="28"/>
  <c r="J47" i="28"/>
  <c r="I48" i="28"/>
  <c r="J48" i="28"/>
  <c r="K48" i="28"/>
  <c r="I49" i="28"/>
  <c r="J49" i="28"/>
  <c r="K49" i="28"/>
  <c r="H49" i="28"/>
  <c r="H48" i="28"/>
  <c r="H47" i="28"/>
  <c r="H46" i="28"/>
  <c r="G9" i="40"/>
  <c r="G4" i="40" s="1"/>
  <c r="F9" i="40"/>
  <c r="F4" i="40" s="1"/>
  <c r="L7" i="28"/>
  <c r="L2" i="28" s="1"/>
  <c r="K7" i="28"/>
  <c r="K2" i="28" s="1"/>
  <c r="I8" i="28"/>
  <c r="I133" i="28" s="1"/>
  <c r="F141" i="28" s="1"/>
  <c r="J8" i="28"/>
  <c r="J133" i="28" s="1"/>
  <c r="E141" i="28" s="1"/>
  <c r="I9" i="28"/>
  <c r="I134" i="28" s="1"/>
  <c r="F142" i="28" s="1"/>
  <c r="J9" i="28"/>
  <c r="J134" i="28" s="1"/>
  <c r="E142" i="28" s="1"/>
  <c r="I10" i="28"/>
  <c r="I135" i="28" s="1"/>
  <c r="F143" i="28" s="1"/>
  <c r="J10" i="28"/>
  <c r="J135" i="28" s="1"/>
  <c r="E143" i="28" s="1"/>
  <c r="I11" i="28"/>
  <c r="I136" i="28" s="1"/>
  <c r="F144" i="28" s="1"/>
  <c r="J11" i="28"/>
  <c r="J136" i="28" s="1"/>
  <c r="E144" i="28" s="1"/>
  <c r="H11" i="28"/>
  <c r="H136" i="28" s="1"/>
  <c r="G144" i="28" s="1"/>
  <c r="H10" i="28"/>
  <c r="H135" i="28" s="1"/>
  <c r="G143" i="28" s="1"/>
  <c r="H9" i="28"/>
  <c r="H134" i="28" s="1"/>
  <c r="G142" i="28" s="1"/>
  <c r="H8" i="28"/>
  <c r="H133" i="28" s="1"/>
  <c r="G141" i="28" s="1"/>
  <c r="F165" i="28"/>
  <c r="C165" i="28"/>
  <c r="C7" i="25"/>
  <c r="J84" i="10"/>
  <c r="I84" i="10"/>
  <c r="K84" i="10"/>
  <c r="K60" i="10"/>
  <c r="K61" i="10"/>
  <c r="K59" i="10"/>
  <c r="K99" i="8" s="1"/>
  <c r="K57" i="10"/>
  <c r="K97" i="8" s="1"/>
  <c r="L55" i="10"/>
  <c r="N50" i="10"/>
  <c r="N49" i="10"/>
  <c r="N48" i="10"/>
  <c r="N47" i="10"/>
  <c r="N46" i="10"/>
  <c r="N45" i="10"/>
  <c r="N44" i="10"/>
  <c r="N43" i="10"/>
  <c r="N42" i="10"/>
  <c r="N37" i="10"/>
  <c r="N36" i="10"/>
  <c r="N35" i="10"/>
  <c r="N34" i="10"/>
  <c r="N33" i="10"/>
  <c r="N32" i="10"/>
  <c r="N31" i="10"/>
  <c r="N30" i="10"/>
  <c r="N29" i="10"/>
  <c r="N25" i="10"/>
  <c r="N24" i="10"/>
  <c r="N23" i="10"/>
  <c r="N22" i="10"/>
  <c r="N21" i="10"/>
  <c r="N20" i="10"/>
  <c r="N19" i="10"/>
  <c r="N18" i="10"/>
  <c r="N17" i="10"/>
  <c r="N13" i="10"/>
  <c r="N12" i="10"/>
  <c r="N11" i="10"/>
  <c r="N10" i="10"/>
  <c r="N9" i="10"/>
  <c r="N8" i="10"/>
  <c r="N7" i="10"/>
  <c r="N6" i="10"/>
  <c r="N5" i="10"/>
  <c r="N4" i="10"/>
  <c r="K12" i="8"/>
  <c r="K6" i="8"/>
  <c r="K4" i="8" s="1"/>
  <c r="I103" i="8"/>
  <c r="J103" i="8"/>
  <c r="K103" i="8"/>
  <c r="J29" i="8"/>
  <c r="K29" i="8"/>
  <c r="J24" i="8"/>
  <c r="J23" i="8" s="1"/>
  <c r="K24" i="8"/>
  <c r="K23" i="8" s="1"/>
  <c r="K37" i="8"/>
  <c r="J49" i="8"/>
  <c r="K49" i="8"/>
  <c r="K46" i="8"/>
  <c r="J46" i="8"/>
  <c r="K60" i="8"/>
  <c r="K59" i="8"/>
  <c r="K81" i="8"/>
  <c r="K70" i="8"/>
  <c r="K71" i="8"/>
  <c r="K72" i="8"/>
  <c r="K73" i="8"/>
  <c r="K74" i="8"/>
  <c r="K75" i="8"/>
  <c r="K77" i="8"/>
  <c r="K78" i="8"/>
  <c r="K79" i="8"/>
  <c r="K80" i="8"/>
  <c r="K65" i="8" s="1"/>
  <c r="J83" i="8"/>
  <c r="K83" i="8"/>
  <c r="D6" i="39"/>
  <c r="C6" i="39"/>
  <c r="D5" i="39"/>
  <c r="C5" i="39"/>
  <c r="D4" i="39"/>
  <c r="C4" i="39"/>
  <c r="F2" i="39"/>
  <c r="E2" i="39"/>
  <c r="P63" i="8"/>
  <c r="I31" i="8"/>
  <c r="I32" i="8"/>
  <c r="I33" i="8"/>
  <c r="I34" i="8"/>
  <c r="I35" i="8"/>
  <c r="I36" i="8"/>
  <c r="I30" i="8"/>
  <c r="H30" i="8"/>
  <c r="C67" i="38"/>
  <c r="B67" i="38"/>
  <c r="C66" i="38"/>
  <c r="B66" i="38"/>
  <c r="D53" i="38"/>
  <c r="C53" i="38"/>
  <c r="D23" i="38"/>
  <c r="C23" i="38"/>
  <c r="B23" i="38"/>
  <c r="D19" i="38"/>
  <c r="C19" i="38"/>
  <c r="B19" i="38"/>
  <c r="H5" i="38"/>
  <c r="G5" i="38"/>
  <c r="G140" i="28" l="1"/>
  <c r="L54" i="10"/>
  <c r="K73" i="51"/>
  <c r="L74" i="51"/>
  <c r="L77" i="51" s="1"/>
  <c r="L78" i="51" s="1"/>
  <c r="F160" i="28"/>
  <c r="F162" i="28" s="1"/>
  <c r="F164" i="28" s="1"/>
  <c r="L132" i="28"/>
  <c r="C142" i="28"/>
  <c r="C140" i="28" s="1"/>
  <c r="G48" i="41"/>
  <c r="G50" i="41"/>
  <c r="E140" i="28"/>
  <c r="D140" i="28"/>
  <c r="D33" i="41"/>
  <c r="E32" i="41"/>
  <c r="F140" i="28"/>
  <c r="J132" i="28"/>
  <c r="I132" i="28"/>
  <c r="H132" i="28"/>
  <c r="J11" i="7"/>
  <c r="J20" i="9" s="1"/>
  <c r="J19" i="9" s="1"/>
  <c r="I14" i="50"/>
  <c r="G205" i="48"/>
  <c r="H123" i="28"/>
  <c r="H65" i="51" s="1"/>
  <c r="O127" i="28"/>
  <c r="P125" i="28"/>
  <c r="O125" i="28"/>
  <c r="O126" i="28"/>
  <c r="O128" i="28"/>
  <c r="K132" i="28"/>
  <c r="H8" i="7"/>
  <c r="N18" i="28"/>
  <c r="G178" i="28"/>
  <c r="G186" i="28" s="1"/>
  <c r="G187" i="28" s="1"/>
  <c r="V101" i="28"/>
  <c r="R101" i="28"/>
  <c r="T101" i="28"/>
  <c r="U101" i="28"/>
  <c r="U104" i="28" s="1"/>
  <c r="F128" i="28" s="1"/>
  <c r="S101" i="28"/>
  <c r="H19" i="7"/>
  <c r="N40" i="28"/>
  <c r="E80" i="28"/>
  <c r="F80" i="28"/>
  <c r="D80" i="28"/>
  <c r="G80" i="28"/>
  <c r="G83" i="28" s="1"/>
  <c r="G125" i="28" s="1"/>
  <c r="C80" i="28"/>
  <c r="H7" i="7"/>
  <c r="N13" i="28"/>
  <c r="U80" i="28"/>
  <c r="U83" i="28" s="1"/>
  <c r="F126" i="28" s="1"/>
  <c r="T80" i="28"/>
  <c r="S80" i="28"/>
  <c r="V80" i="28"/>
  <c r="R80" i="28"/>
  <c r="H11" i="7"/>
  <c r="H20" i="9" s="1"/>
  <c r="H19" i="9" s="1"/>
  <c r="N33" i="28"/>
  <c r="F101" i="28"/>
  <c r="F63" i="28" s="1"/>
  <c r="G101" i="28"/>
  <c r="C101" i="28"/>
  <c r="E101" i="28"/>
  <c r="D101" i="28"/>
  <c r="J60" i="10"/>
  <c r="J100" i="8" s="1"/>
  <c r="K100" i="8"/>
  <c r="C29" i="7"/>
  <c r="C21" i="7" s="1"/>
  <c r="G29" i="7"/>
  <c r="G21" i="7" s="1"/>
  <c r="D29" i="7"/>
  <c r="D21" i="7" s="1"/>
  <c r="E29" i="7"/>
  <c r="E21" i="7" s="1"/>
  <c r="F29" i="7"/>
  <c r="F21" i="7" s="1"/>
  <c r="K15" i="48"/>
  <c r="K16" i="48"/>
  <c r="K5" i="48"/>
  <c r="K13" i="48" s="1"/>
  <c r="L5" i="48"/>
  <c r="L13" i="48" s="1"/>
  <c r="L15" i="48"/>
  <c r="L16" i="48"/>
  <c r="J61" i="10"/>
  <c r="K101" i="8"/>
  <c r="F51" i="9"/>
  <c r="F57" i="9" s="1"/>
  <c r="F31" i="41"/>
  <c r="E50" i="41"/>
  <c r="E48" i="41" s="1"/>
  <c r="J9" i="37"/>
  <c r="J39" i="37"/>
  <c r="K9" i="37"/>
  <c r="K39" i="37"/>
  <c r="G61" i="28"/>
  <c r="F62" i="28"/>
  <c r="I178" i="28"/>
  <c r="I186" i="28" s="1"/>
  <c r="I187" i="28" s="1"/>
  <c r="F178" i="28"/>
  <c r="F186" i="28" s="1"/>
  <c r="F187" i="28" s="1"/>
  <c r="C178" i="28"/>
  <c r="C186" i="28" s="1"/>
  <c r="C187" i="28" s="1"/>
  <c r="H178" i="28"/>
  <c r="H186" i="28" s="1"/>
  <c r="H187" i="28" s="1"/>
  <c r="K45" i="28"/>
  <c r="K7" i="9" s="1"/>
  <c r="K6" i="9" s="1"/>
  <c r="L60" i="28"/>
  <c r="L47" i="48" s="1"/>
  <c r="L49" i="48" s="1"/>
  <c r="I60" i="28"/>
  <c r="I47" i="48" s="1"/>
  <c r="I49" i="48" s="1"/>
  <c r="J45" i="28"/>
  <c r="J7" i="9" s="1"/>
  <c r="J6" i="9" s="1"/>
  <c r="J60" i="28"/>
  <c r="J47" i="48" s="1"/>
  <c r="J49" i="48" s="1"/>
  <c r="H45" i="28"/>
  <c r="I45" i="28"/>
  <c r="I7" i="9" s="1"/>
  <c r="I6" i="9" s="1"/>
  <c r="H60" i="28"/>
  <c r="H47" i="48" s="1"/>
  <c r="H49" i="48" s="1"/>
  <c r="K60" i="28"/>
  <c r="K47" i="48" s="1"/>
  <c r="K49" i="48" s="1"/>
  <c r="L2" i="7"/>
  <c r="L4" i="7" s="1"/>
  <c r="L18" i="7" s="1"/>
  <c r="L30" i="7" s="1"/>
  <c r="L35" i="7" s="1"/>
  <c r="K2" i="7"/>
  <c r="K4" i="7" s="1"/>
  <c r="K18" i="7" s="1"/>
  <c r="K30" i="7" s="1"/>
  <c r="K35" i="7" s="1"/>
  <c r="K62" i="10"/>
  <c r="J62" i="10" s="1"/>
  <c r="I62" i="10" s="1"/>
  <c r="B18" i="38"/>
  <c r="B52" i="38" s="1"/>
  <c r="C18" i="38"/>
  <c r="H35" i="38" s="1"/>
  <c r="H38" i="38" s="1"/>
  <c r="I11" i="9" s="1"/>
  <c r="C2" i="39"/>
  <c r="F166" i="28"/>
  <c r="F169" i="28" s="1"/>
  <c r="I160" i="28"/>
  <c r="I162" i="28" s="1"/>
  <c r="I164" i="28" s="1"/>
  <c r="I166" i="28" s="1"/>
  <c r="I169" i="28" s="1"/>
  <c r="H160" i="28"/>
  <c r="H162" i="28" s="1"/>
  <c r="H164" i="28" s="1"/>
  <c r="H166" i="28" s="1"/>
  <c r="H169" i="28" s="1"/>
  <c r="C160" i="28"/>
  <c r="C162" i="28" s="1"/>
  <c r="C164" i="28" s="1"/>
  <c r="C166" i="28" s="1"/>
  <c r="C169" i="28" s="1"/>
  <c r="G160" i="28"/>
  <c r="G162" i="28" s="1"/>
  <c r="G164" i="28" s="1"/>
  <c r="H83" i="8"/>
  <c r="I83" i="8"/>
  <c r="H7" i="28"/>
  <c r="H2" i="28" s="1"/>
  <c r="I7" i="28"/>
  <c r="I2" i="28" s="1"/>
  <c r="J7" i="28"/>
  <c r="J2" i="28" s="1"/>
  <c r="J59" i="10"/>
  <c r="I60" i="10"/>
  <c r="J57" i="10"/>
  <c r="K69" i="8"/>
  <c r="K68" i="8" s="1"/>
  <c r="K56" i="7" s="1"/>
  <c r="K57" i="8"/>
  <c r="J45" i="8"/>
  <c r="K45" i="8"/>
  <c r="D2" i="39"/>
  <c r="H30" i="38"/>
  <c r="H25" i="38"/>
  <c r="H29" i="38"/>
  <c r="H22" i="38"/>
  <c r="H24" i="38"/>
  <c r="H28" i="38"/>
  <c r="H21" i="38"/>
  <c r="H26" i="38"/>
  <c r="D18" i="38"/>
  <c r="H27" i="38"/>
  <c r="H20" i="38"/>
  <c r="C17" i="38"/>
  <c r="P64" i="8"/>
  <c r="P54" i="8"/>
  <c r="Q20" i="8"/>
  <c r="H58" i="37"/>
  <c r="G58" i="37"/>
  <c r="G48" i="37" s="1"/>
  <c r="H50" i="37"/>
  <c r="H49" i="37" s="1"/>
  <c r="Q4" i="37"/>
  <c r="Q10" i="37" s="1"/>
  <c r="P4" i="37"/>
  <c r="P10" i="37" s="1"/>
  <c r="O4" i="37"/>
  <c r="O10" i="37" s="1"/>
  <c r="I17" i="37"/>
  <c r="H17" i="37"/>
  <c r="G17" i="37"/>
  <c r="H51" i="10"/>
  <c r="C51" i="10"/>
  <c r="D51" i="10"/>
  <c r="C33" i="41" l="1"/>
  <c r="C32" i="41" s="1"/>
  <c r="D32" i="41"/>
  <c r="G51" i="9"/>
  <c r="G57" i="9" s="1"/>
  <c r="G31" i="41"/>
  <c r="F104" i="28"/>
  <c r="F127" i="28" s="1"/>
  <c r="F64" i="28"/>
  <c r="N2" i="28"/>
  <c r="T4" i="28"/>
  <c r="S6" i="28"/>
  <c r="T5" i="28"/>
  <c r="S3" i="28"/>
  <c r="S5" i="28"/>
  <c r="T6" i="28"/>
  <c r="S4" i="28"/>
  <c r="T3" i="28"/>
  <c r="F205" i="48"/>
  <c r="G207" i="48"/>
  <c r="G206" i="48" s="1"/>
  <c r="G64" i="28"/>
  <c r="V104" i="28"/>
  <c r="G128" i="28" s="1"/>
  <c r="G104" i="28"/>
  <c r="G127" i="28" s="1"/>
  <c r="G63" i="28"/>
  <c r="H7" i="9"/>
  <c r="H6" i="9" s="1"/>
  <c r="H66" i="51" s="1"/>
  <c r="H67" i="51" s="1"/>
  <c r="N45" i="28"/>
  <c r="V83" i="28"/>
  <c r="G126" i="28" s="1"/>
  <c r="G62" i="28"/>
  <c r="K38" i="7"/>
  <c r="K3" i="9"/>
  <c r="L38" i="7"/>
  <c r="L3" i="9"/>
  <c r="L44" i="9" s="1"/>
  <c r="L88" i="9" s="1"/>
  <c r="I57" i="10"/>
  <c r="J97" i="8"/>
  <c r="H60" i="10"/>
  <c r="I100" i="8"/>
  <c r="K59" i="48"/>
  <c r="H59" i="48"/>
  <c r="J59" i="48"/>
  <c r="L10" i="48"/>
  <c r="L6" i="48"/>
  <c r="L8" i="48"/>
  <c r="L9" i="48"/>
  <c r="L7" i="48"/>
  <c r="H5" i="48"/>
  <c r="H13" i="48" s="1"/>
  <c r="H16" i="48"/>
  <c r="T102" i="48" s="1"/>
  <c r="H15" i="48"/>
  <c r="T101" i="48" s="1"/>
  <c r="K8" i="48"/>
  <c r="K6" i="48"/>
  <c r="K7" i="48"/>
  <c r="K9" i="48"/>
  <c r="K10" i="48"/>
  <c r="F23" i="48" s="1"/>
  <c r="I16" i="48"/>
  <c r="I5" i="48"/>
  <c r="I13" i="48" s="1"/>
  <c r="I15" i="48"/>
  <c r="I59" i="48"/>
  <c r="F25" i="48"/>
  <c r="J15" i="48"/>
  <c r="E24" i="48" s="1"/>
  <c r="J16" i="48"/>
  <c r="E25" i="48" s="1"/>
  <c r="J5" i="48"/>
  <c r="J13" i="48" s="1"/>
  <c r="F24" i="48"/>
  <c r="I61" i="10"/>
  <c r="J101" i="8"/>
  <c r="I59" i="10"/>
  <c r="I99" i="8" s="1"/>
  <c r="J99" i="8"/>
  <c r="E51" i="9"/>
  <c r="E57" i="9" s="1"/>
  <c r="E31" i="41"/>
  <c r="D50" i="41"/>
  <c r="D48" i="41" s="1"/>
  <c r="C50" i="41"/>
  <c r="C48" i="41" s="1"/>
  <c r="E64" i="28"/>
  <c r="T104" i="28"/>
  <c r="E128" i="28" s="1"/>
  <c r="E62" i="28"/>
  <c r="T83" i="28"/>
  <c r="E126" i="28" s="1"/>
  <c r="E63" i="28"/>
  <c r="E104" i="28"/>
  <c r="E127" i="28" s="1"/>
  <c r="F61" i="28"/>
  <c r="F60" i="28" s="1"/>
  <c r="F47" i="48" s="1"/>
  <c r="F83" i="28"/>
  <c r="F125" i="28" s="1"/>
  <c r="F124" i="28" s="1"/>
  <c r="F123" i="28" s="1"/>
  <c r="F65" i="51" s="1"/>
  <c r="F67" i="51" s="1"/>
  <c r="H2" i="7"/>
  <c r="J2" i="7"/>
  <c r="I2" i="7"/>
  <c r="G35" i="38"/>
  <c r="L35" i="38" s="1"/>
  <c r="I20" i="38"/>
  <c r="I24" i="38"/>
  <c r="I26" i="38"/>
  <c r="I29" i="38"/>
  <c r="I21" i="38"/>
  <c r="D52" i="38"/>
  <c r="I35" i="38"/>
  <c r="I38" i="38" s="1"/>
  <c r="J11" i="9" s="1"/>
  <c r="I27" i="38"/>
  <c r="I25" i="38"/>
  <c r="I28" i="38"/>
  <c r="I30" i="38"/>
  <c r="I22" i="38"/>
  <c r="C52" i="38"/>
  <c r="L9" i="37"/>
  <c r="H17" i="54" s="1"/>
  <c r="H48" i="37"/>
  <c r="D17" i="38"/>
  <c r="J22" i="38"/>
  <c r="J29" i="38"/>
  <c r="J25" i="38"/>
  <c r="J30" i="38"/>
  <c r="J26" i="38"/>
  <c r="J28" i="38"/>
  <c r="J24" i="38"/>
  <c r="J20" i="38"/>
  <c r="J27" i="38"/>
  <c r="J21" i="38"/>
  <c r="G16" i="37"/>
  <c r="G34" i="37" s="1"/>
  <c r="H16" i="37"/>
  <c r="I16" i="37"/>
  <c r="I34" i="37" s="1"/>
  <c r="N41" i="10"/>
  <c r="N28" i="10"/>
  <c r="K16" i="8"/>
  <c r="K15" i="8" s="1"/>
  <c r="K3" i="8" s="1"/>
  <c r="J16" i="8"/>
  <c r="J15" i="8" s="1"/>
  <c r="H10" i="29" s="1"/>
  <c r="I16" i="8"/>
  <c r="J6" i="8"/>
  <c r="J4" i="8" s="1"/>
  <c r="J42" i="36"/>
  <c r="I42" i="36"/>
  <c r="H42" i="36"/>
  <c r="G42" i="36"/>
  <c r="J38" i="36"/>
  <c r="I38" i="36"/>
  <c r="H38" i="36"/>
  <c r="G38" i="36"/>
  <c r="J34" i="36"/>
  <c r="I34" i="36"/>
  <c r="H34" i="36"/>
  <c r="G34" i="36"/>
  <c r="J33" i="36"/>
  <c r="I33" i="36"/>
  <c r="H33" i="36"/>
  <c r="G33" i="36"/>
  <c r="J32" i="36"/>
  <c r="I32" i="36"/>
  <c r="H32" i="36"/>
  <c r="G32" i="36"/>
  <c r="J31" i="36"/>
  <c r="I31" i="36"/>
  <c r="H31" i="36"/>
  <c r="G31" i="36"/>
  <c r="W27" i="36"/>
  <c r="V27" i="36"/>
  <c r="U27" i="36"/>
  <c r="T27" i="36"/>
  <c r="R27" i="36"/>
  <c r="J27" i="36" s="1"/>
  <c r="Q27" i="36"/>
  <c r="P27" i="36"/>
  <c r="H27" i="36" s="1"/>
  <c r="O27" i="36"/>
  <c r="J26" i="36"/>
  <c r="K82" i="8" s="1"/>
  <c r="K67" i="8" s="1"/>
  <c r="I26" i="36"/>
  <c r="J82" i="8" s="1"/>
  <c r="H26" i="36"/>
  <c r="G26" i="36"/>
  <c r="J25" i="36"/>
  <c r="I25" i="36"/>
  <c r="H25" i="36"/>
  <c r="G25" i="36"/>
  <c r="J24" i="36"/>
  <c r="K52" i="8" s="1"/>
  <c r="K22" i="8" s="1"/>
  <c r="I24" i="36"/>
  <c r="J52" i="8" s="1"/>
  <c r="H24" i="36"/>
  <c r="G24" i="36"/>
  <c r="U20" i="36"/>
  <c r="T20" i="36"/>
  <c r="P20" i="36"/>
  <c r="O20" i="36"/>
  <c r="J19" i="36"/>
  <c r="I19" i="36"/>
  <c r="H19" i="36"/>
  <c r="G19" i="36"/>
  <c r="J18" i="36"/>
  <c r="I18" i="36"/>
  <c r="H18" i="36"/>
  <c r="G18" i="36"/>
  <c r="J17" i="36"/>
  <c r="I17" i="36"/>
  <c r="H17" i="36"/>
  <c r="G17" i="36"/>
  <c r="J16" i="36"/>
  <c r="J20" i="36" s="1"/>
  <c r="I16" i="36"/>
  <c r="H16" i="36"/>
  <c r="G16" i="36"/>
  <c r="W12" i="36"/>
  <c r="W21" i="36" s="1"/>
  <c r="V12" i="36"/>
  <c r="V21" i="36" s="1"/>
  <c r="U12" i="36"/>
  <c r="T12" i="36"/>
  <c r="R12" i="36"/>
  <c r="R21" i="36" s="1"/>
  <c r="Q12" i="36"/>
  <c r="Q21" i="36" s="1"/>
  <c r="P12" i="36"/>
  <c r="H12" i="36" s="1"/>
  <c r="G4" i="36" s="1"/>
  <c r="O12" i="36"/>
  <c r="J11" i="36"/>
  <c r="I11" i="36"/>
  <c r="H11" i="36"/>
  <c r="G11" i="36"/>
  <c r="J10" i="36"/>
  <c r="I10" i="36"/>
  <c r="H10" i="36"/>
  <c r="G10" i="36"/>
  <c r="J9" i="36"/>
  <c r="I9" i="36"/>
  <c r="H9" i="36"/>
  <c r="G9" i="36"/>
  <c r="J8" i="36"/>
  <c r="I8" i="36"/>
  <c r="H8" i="36"/>
  <c r="G8" i="36"/>
  <c r="J7" i="36"/>
  <c r="I7" i="36"/>
  <c r="H7" i="36"/>
  <c r="G7" i="36"/>
  <c r="J6" i="36"/>
  <c r="I6" i="36"/>
  <c r="H6" i="36"/>
  <c r="G6" i="36"/>
  <c r="J5" i="36"/>
  <c r="I5" i="36"/>
  <c r="H5" i="36"/>
  <c r="G5" i="36"/>
  <c r="J4" i="36"/>
  <c r="I4" i="36"/>
  <c r="H4" i="36"/>
  <c r="I81" i="8"/>
  <c r="J81" i="8"/>
  <c r="H81" i="8"/>
  <c r="F20" i="34"/>
  <c r="E20" i="34"/>
  <c r="F17" i="34"/>
  <c r="E17" i="34"/>
  <c r="I59" i="8"/>
  <c r="J59" i="8"/>
  <c r="H59" i="8"/>
  <c r="I60" i="8"/>
  <c r="J60" i="8"/>
  <c r="H60" i="8"/>
  <c r="A44" i="31"/>
  <c r="I46" i="31"/>
  <c r="J46" i="31"/>
  <c r="H46" i="31"/>
  <c r="I45" i="31"/>
  <c r="J45" i="31"/>
  <c r="H45" i="31"/>
  <c r="I40" i="31"/>
  <c r="J40" i="31"/>
  <c r="I41" i="31"/>
  <c r="J41" i="31"/>
  <c r="I42" i="31"/>
  <c r="J42" i="31"/>
  <c r="I43" i="31"/>
  <c r="J43" i="31"/>
  <c r="H41" i="31"/>
  <c r="H42" i="31"/>
  <c r="H43" i="31"/>
  <c r="H40" i="31"/>
  <c r="J32" i="31"/>
  <c r="J33" i="31"/>
  <c r="J34" i="31"/>
  <c r="J35" i="31"/>
  <c r="I32" i="31"/>
  <c r="I34" i="31"/>
  <c r="I35" i="31"/>
  <c r="H35" i="31"/>
  <c r="H34" i="31"/>
  <c r="H32" i="31"/>
  <c r="J80" i="8"/>
  <c r="J65" i="8" s="1"/>
  <c r="I80" i="8"/>
  <c r="I65" i="8" s="1"/>
  <c r="H80" i="8"/>
  <c r="H65" i="8" s="1"/>
  <c r="J79" i="8"/>
  <c r="I79" i="8"/>
  <c r="H79" i="8"/>
  <c r="J78" i="8"/>
  <c r="I78" i="8"/>
  <c r="H78" i="8"/>
  <c r="J77" i="8"/>
  <c r="I77" i="8"/>
  <c r="H77" i="8"/>
  <c r="J75" i="8"/>
  <c r="I75" i="8"/>
  <c r="H75" i="8"/>
  <c r="J74" i="8"/>
  <c r="I74" i="8"/>
  <c r="H74" i="8"/>
  <c r="J73" i="8"/>
  <c r="I73" i="8"/>
  <c r="H73" i="8"/>
  <c r="J72" i="8"/>
  <c r="I72" i="8"/>
  <c r="H72" i="8"/>
  <c r="J71" i="8"/>
  <c r="I71" i="8"/>
  <c r="H71" i="8"/>
  <c r="J70" i="8"/>
  <c r="I70" i="8"/>
  <c r="H70" i="8"/>
  <c r="J21" i="31"/>
  <c r="I20" i="31"/>
  <c r="I21" i="31" s="1"/>
  <c r="H20" i="31"/>
  <c r="T3" i="31"/>
  <c r="U3" i="31"/>
  <c r="S3" i="31"/>
  <c r="H57" i="51" l="1"/>
  <c r="L5" i="36"/>
  <c r="I12" i="36"/>
  <c r="T21" i="36"/>
  <c r="E16" i="34"/>
  <c r="B35" i="38"/>
  <c r="E35" i="38"/>
  <c r="E38" i="38" s="1"/>
  <c r="F11" i="9" s="1"/>
  <c r="F35" i="38"/>
  <c r="D35" i="38"/>
  <c r="C35" i="38"/>
  <c r="G60" i="28"/>
  <c r="N60" i="28" s="1"/>
  <c r="I15" i="50" s="1"/>
  <c r="F207" i="48"/>
  <c r="F206" i="48" s="1"/>
  <c r="E205" i="48"/>
  <c r="G124" i="28"/>
  <c r="G123" i="28" s="1"/>
  <c r="G65" i="51" s="1"/>
  <c r="G67" i="51" s="1"/>
  <c r="J4" i="7"/>
  <c r="J18" i="7" s="1"/>
  <c r="J30" i="7" s="1"/>
  <c r="J35" i="7" s="1"/>
  <c r="E162" i="48"/>
  <c r="E167" i="48"/>
  <c r="E163" i="48"/>
  <c r="E164" i="48"/>
  <c r="E165" i="48"/>
  <c r="E166" i="48"/>
  <c r="C6" i="25"/>
  <c r="O26" i="40"/>
  <c r="O24" i="40"/>
  <c r="H180" i="48"/>
  <c r="P27" i="40"/>
  <c r="P25" i="40"/>
  <c r="O25" i="40"/>
  <c r="P26" i="40"/>
  <c r="C162" i="48"/>
  <c r="H171" i="48" s="1"/>
  <c r="O27" i="40"/>
  <c r="C167" i="48"/>
  <c r="H175" i="48" s="1"/>
  <c r="H184" i="48" s="1"/>
  <c r="P24" i="40"/>
  <c r="C163" i="48"/>
  <c r="C166" i="48"/>
  <c r="H174" i="48" s="1"/>
  <c r="C165" i="48"/>
  <c r="H173" i="48" s="1"/>
  <c r="O24" i="17"/>
  <c r="O26" i="17" s="1"/>
  <c r="C164" i="48"/>
  <c r="H172" i="48" s="1"/>
  <c r="L2" i="42"/>
  <c r="L10" i="42" s="1"/>
  <c r="L42" i="7" s="1"/>
  <c r="L17" i="51"/>
  <c r="L18" i="51" s="1"/>
  <c r="L24" i="51"/>
  <c r="K17" i="51"/>
  <c r="K18" i="51" s="1"/>
  <c r="K24" i="51"/>
  <c r="I4" i="7"/>
  <c r="I18" i="7" s="1"/>
  <c r="I30" i="7" s="1"/>
  <c r="I35" i="7" s="1"/>
  <c r="I38" i="7" s="1"/>
  <c r="D162" i="48"/>
  <c r="D167" i="48"/>
  <c r="D164" i="48"/>
  <c r="D163" i="48"/>
  <c r="D166" i="48"/>
  <c r="D165" i="48"/>
  <c r="S102" i="48"/>
  <c r="R102" i="48" s="1"/>
  <c r="T100" i="48"/>
  <c r="T96" i="48" s="1"/>
  <c r="S101" i="48"/>
  <c r="K68" i="10"/>
  <c r="K66" i="10" s="1"/>
  <c r="K65" i="10" s="1"/>
  <c r="K2" i="42"/>
  <c r="G47" i="48"/>
  <c r="G48" i="48" s="1"/>
  <c r="G49" i="48" s="1"/>
  <c r="G59" i="48" s="1"/>
  <c r="G58" i="48" s="1"/>
  <c r="G41" i="48" s="1"/>
  <c r="L17" i="36"/>
  <c r="L25" i="36"/>
  <c r="L18" i="36"/>
  <c r="G12" i="36"/>
  <c r="F4" i="36" s="1"/>
  <c r="L24" i="36"/>
  <c r="K24" i="36"/>
  <c r="L6" i="36"/>
  <c r="L8" i="36"/>
  <c r="L9" i="36"/>
  <c r="F16" i="34"/>
  <c r="L87" i="9"/>
  <c r="M37" i="51" s="1"/>
  <c r="L72" i="9"/>
  <c r="L78" i="9" s="1"/>
  <c r="L51" i="7"/>
  <c r="H59" i="10"/>
  <c r="G59" i="10" s="1"/>
  <c r="G60" i="10"/>
  <c r="H100" i="8"/>
  <c r="I97" i="8"/>
  <c r="H57" i="10"/>
  <c r="H97" i="8" s="1"/>
  <c r="L97" i="8" s="1"/>
  <c r="D25" i="48"/>
  <c r="H4" i="7"/>
  <c r="H18" i="7" s="1"/>
  <c r="H30" i="7" s="1"/>
  <c r="H35" i="7" s="1"/>
  <c r="H3" i="9" s="1"/>
  <c r="I7" i="48"/>
  <c r="I6" i="48"/>
  <c r="I8" i="48"/>
  <c r="I9" i="48"/>
  <c r="I10" i="48"/>
  <c r="H9" i="48"/>
  <c r="H6" i="48"/>
  <c r="H10" i="48"/>
  <c r="H8" i="48"/>
  <c r="H7" i="48"/>
  <c r="C25" i="48"/>
  <c r="E30" i="48"/>
  <c r="G16" i="48" s="1"/>
  <c r="G112" i="48" s="1"/>
  <c r="G114" i="48" s="1"/>
  <c r="J7" i="48"/>
  <c r="J10" i="48"/>
  <c r="E23" i="48" s="1"/>
  <c r="J8" i="48"/>
  <c r="J6" i="48"/>
  <c r="J9" i="48"/>
  <c r="D24" i="48"/>
  <c r="E29" i="48"/>
  <c r="G15" i="48" s="1"/>
  <c r="G108" i="48" s="1"/>
  <c r="G110" i="48" s="1"/>
  <c r="C24" i="48"/>
  <c r="I101" i="8"/>
  <c r="H61" i="10"/>
  <c r="C44" i="31"/>
  <c r="C39" i="31" s="1"/>
  <c r="C38" i="31" s="1"/>
  <c r="C48" i="31" s="1"/>
  <c r="C50" i="31" s="1"/>
  <c r="C20" i="7" s="1"/>
  <c r="G44" i="31"/>
  <c r="G39" i="31" s="1"/>
  <c r="G38" i="31" s="1"/>
  <c r="G48" i="31" s="1"/>
  <c r="G50" i="31" s="1"/>
  <c r="G20" i="7" s="1"/>
  <c r="D44" i="31"/>
  <c r="D39" i="31" s="1"/>
  <c r="D38" i="31" s="1"/>
  <c r="D48" i="31" s="1"/>
  <c r="D50" i="31" s="1"/>
  <c r="D20" i="7" s="1"/>
  <c r="E44" i="31"/>
  <c r="E39" i="31" s="1"/>
  <c r="E38" i="31" s="1"/>
  <c r="E48" i="31" s="1"/>
  <c r="E50" i="31" s="1"/>
  <c r="E20" i="7" s="1"/>
  <c r="F44" i="31"/>
  <c r="F39" i="31" s="1"/>
  <c r="F38" i="31" s="1"/>
  <c r="F48" i="31" s="1"/>
  <c r="F50" i="31" s="1"/>
  <c r="F20" i="7" s="1"/>
  <c r="K56" i="8"/>
  <c r="D51" i="9"/>
  <c r="D57" i="9" s="1"/>
  <c r="D31" i="41"/>
  <c r="C51" i="9"/>
  <c r="C57" i="9" s="1"/>
  <c r="C31" i="41"/>
  <c r="J12" i="36"/>
  <c r="J21" i="36" s="1"/>
  <c r="J28" i="36" s="1"/>
  <c r="I15" i="36"/>
  <c r="I20" i="36" s="1"/>
  <c r="U21" i="36"/>
  <c r="K5" i="36"/>
  <c r="K6" i="36"/>
  <c r="K7" i="36"/>
  <c r="K8" i="36"/>
  <c r="K9" i="36"/>
  <c r="K11" i="36"/>
  <c r="K16" i="36"/>
  <c r="K17" i="36"/>
  <c r="K18" i="36"/>
  <c r="K19" i="36"/>
  <c r="G27" i="36"/>
  <c r="K25" i="36"/>
  <c r="H33" i="31"/>
  <c r="H31" i="31" s="1"/>
  <c r="J31" i="31"/>
  <c r="I27" i="36"/>
  <c r="O21" i="36"/>
  <c r="G38" i="38"/>
  <c r="H11" i="9" s="1"/>
  <c r="D38" i="38"/>
  <c r="E11" i="9" s="1"/>
  <c r="F38" i="38"/>
  <c r="G11" i="9" s="1"/>
  <c r="C38" i="38"/>
  <c r="D11" i="9" s="1"/>
  <c r="B38" i="38"/>
  <c r="C11" i="9" s="1"/>
  <c r="L34" i="37"/>
  <c r="I9" i="37"/>
  <c r="I39" i="37"/>
  <c r="L39" i="37"/>
  <c r="G39" i="37"/>
  <c r="H9" i="37"/>
  <c r="H39" i="37"/>
  <c r="H34" i="37"/>
  <c r="G9" i="37"/>
  <c r="O52" i="37"/>
  <c r="F48" i="48"/>
  <c r="F49" i="48" s="1"/>
  <c r="D62" i="28"/>
  <c r="S83" i="28"/>
  <c r="D126" i="28" s="1"/>
  <c r="D63" i="28"/>
  <c r="D104" i="28"/>
  <c r="D127" i="28" s="1"/>
  <c r="E61" i="28"/>
  <c r="E60" i="28" s="1"/>
  <c r="E47" i="48" s="1"/>
  <c r="E83" i="28"/>
  <c r="E125" i="28" s="1"/>
  <c r="E124" i="28" s="1"/>
  <c r="E123" i="28" s="1"/>
  <c r="E65" i="51" s="1"/>
  <c r="E67" i="51" s="1"/>
  <c r="D64" i="28"/>
  <c r="S104" i="28"/>
  <c r="D128" i="28" s="1"/>
  <c r="J31" i="9"/>
  <c r="J30" i="9" s="1"/>
  <c r="K2" i="8"/>
  <c r="K55" i="7" s="1"/>
  <c r="G165" i="28"/>
  <c r="G166" i="28" s="1"/>
  <c r="G169" i="28" s="1"/>
  <c r="N16" i="10"/>
  <c r="G51" i="10"/>
  <c r="F51" i="10"/>
  <c r="I26" i="10"/>
  <c r="L26" i="10" s="1"/>
  <c r="I33" i="31"/>
  <c r="I31" i="31" s="1"/>
  <c r="P21" i="36"/>
  <c r="H44" i="31"/>
  <c r="H39" i="31" s="1"/>
  <c r="H38" i="31" s="1"/>
  <c r="H48" i="31" s="1"/>
  <c r="H50" i="31" s="1"/>
  <c r="J44" i="31"/>
  <c r="J39" i="31" s="1"/>
  <c r="J38" i="31" s="1"/>
  <c r="J48" i="31" s="1"/>
  <c r="J50" i="31" s="1"/>
  <c r="I44" i="31"/>
  <c r="I39" i="31" s="1"/>
  <c r="I38" i="31" s="1"/>
  <c r="I48" i="31" s="1"/>
  <c r="I50" i="31" s="1"/>
  <c r="H69" i="8"/>
  <c r="I69" i="8"/>
  <c r="I68" i="8" s="1"/>
  <c r="J69" i="8"/>
  <c r="J68" i="8" s="1"/>
  <c r="H99" i="8" l="1"/>
  <c r="G172" i="48"/>
  <c r="H186" i="48"/>
  <c r="G171" i="48"/>
  <c r="G185" i="48" s="1"/>
  <c r="H185" i="48"/>
  <c r="G173" i="48"/>
  <c r="H187" i="48"/>
  <c r="G174" i="48"/>
  <c r="H188" i="48"/>
  <c r="E207" i="48"/>
  <c r="E206" i="48" s="1"/>
  <c r="D205" i="48"/>
  <c r="L11" i="42"/>
  <c r="L43" i="7" s="1"/>
  <c r="L39" i="7" s="1"/>
  <c r="H68" i="8"/>
  <c r="H58" i="51" s="1"/>
  <c r="H56" i="51" s="1"/>
  <c r="C40" i="17" s="1"/>
  <c r="H11" i="54"/>
  <c r="I17" i="51"/>
  <c r="I18" i="51" s="1"/>
  <c r="I24" i="51"/>
  <c r="I3" i="9"/>
  <c r="H189" i="48"/>
  <c r="G189" i="48" s="1"/>
  <c r="F189" i="48" s="1"/>
  <c r="E189" i="48" s="1"/>
  <c r="D189" i="48" s="1"/>
  <c r="C189" i="48" s="1"/>
  <c r="T97" i="48"/>
  <c r="Q102" i="48"/>
  <c r="G97" i="48"/>
  <c r="G98" i="48"/>
  <c r="R101" i="48"/>
  <c r="S100" i="48"/>
  <c r="G40" i="48"/>
  <c r="G39" i="48" s="1"/>
  <c r="G38" i="48" s="1"/>
  <c r="F59" i="48"/>
  <c r="F58" i="48" s="1"/>
  <c r="F41" i="48" s="1"/>
  <c r="K58" i="10"/>
  <c r="K98" i="8" s="1"/>
  <c r="K96" i="8" s="1"/>
  <c r="I68" i="10"/>
  <c r="I66" i="10" s="1"/>
  <c r="I65" i="10" s="1"/>
  <c r="I2" i="42"/>
  <c r="K10" i="42"/>
  <c r="K42" i="7" s="1"/>
  <c r="K18" i="42"/>
  <c r="K11" i="42"/>
  <c r="K43" i="7" s="1"/>
  <c r="K39" i="7" s="1"/>
  <c r="H38" i="7"/>
  <c r="K26" i="36"/>
  <c r="D24" i="36"/>
  <c r="F6" i="36"/>
  <c r="B6" i="36"/>
  <c r="C6" i="36"/>
  <c r="E6" i="36"/>
  <c r="D6" i="36"/>
  <c r="E24" i="36"/>
  <c r="F52" i="8" s="1"/>
  <c r="B24" i="36"/>
  <c r="C24" i="36"/>
  <c r="F24" i="36"/>
  <c r="G52" i="8" s="1"/>
  <c r="G22" i="8" s="1"/>
  <c r="E25" i="36"/>
  <c r="B25" i="36"/>
  <c r="D25" i="36"/>
  <c r="F25" i="36"/>
  <c r="C25" i="36"/>
  <c r="D9" i="36"/>
  <c r="E9" i="36"/>
  <c r="C9" i="36"/>
  <c r="F9" i="36"/>
  <c r="B9" i="36"/>
  <c r="E5" i="36"/>
  <c r="B5" i="36"/>
  <c r="F5" i="36"/>
  <c r="C5" i="36"/>
  <c r="D5" i="36"/>
  <c r="F18" i="36"/>
  <c r="B18" i="36"/>
  <c r="E18" i="36"/>
  <c r="C18" i="36"/>
  <c r="D18" i="36"/>
  <c r="C17" i="36"/>
  <c r="F17" i="36"/>
  <c r="B17" i="36"/>
  <c r="D17" i="36"/>
  <c r="E17" i="36"/>
  <c r="E8" i="36"/>
  <c r="B8" i="36"/>
  <c r="D8" i="36"/>
  <c r="F8" i="36"/>
  <c r="C8" i="36"/>
  <c r="J38" i="7"/>
  <c r="J3" i="9"/>
  <c r="F60" i="10"/>
  <c r="G100" i="8"/>
  <c r="G14" i="29"/>
  <c r="G16" i="29" s="1"/>
  <c r="F14" i="29"/>
  <c r="F16" i="29" s="1"/>
  <c r="F15" i="48"/>
  <c r="F108" i="48" s="1"/>
  <c r="F110" i="48" s="1"/>
  <c r="G10" i="48"/>
  <c r="G19" i="48" s="1"/>
  <c r="G101" i="48" s="1"/>
  <c r="D30" i="48"/>
  <c r="C30" i="48"/>
  <c r="C29" i="48"/>
  <c r="D29" i="48"/>
  <c r="F16" i="48"/>
  <c r="F112" i="48" s="1"/>
  <c r="F114" i="48" s="1"/>
  <c r="C23" i="48"/>
  <c r="E28" i="48"/>
  <c r="G8" i="48" s="1"/>
  <c r="F8" i="48" s="1"/>
  <c r="D23" i="48"/>
  <c r="F40" i="48"/>
  <c r="G61" i="10"/>
  <c r="H101" i="8"/>
  <c r="K93" i="8"/>
  <c r="F59" i="10"/>
  <c r="G99" i="8"/>
  <c r="K107" i="8"/>
  <c r="D19" i="36"/>
  <c r="C19" i="36"/>
  <c r="E19" i="36"/>
  <c r="B19" i="36"/>
  <c r="F19" i="36"/>
  <c r="B16" i="36"/>
  <c r="E16" i="36"/>
  <c r="F16" i="36"/>
  <c r="D16" i="36"/>
  <c r="C16" i="36"/>
  <c r="H15" i="36"/>
  <c r="H20" i="36" s="1"/>
  <c r="I21" i="36"/>
  <c r="I28" i="36" s="1"/>
  <c r="D11" i="36"/>
  <c r="C11" i="36"/>
  <c r="E11" i="36"/>
  <c r="F11" i="36"/>
  <c r="B11" i="36"/>
  <c r="D7" i="36"/>
  <c r="C7" i="36"/>
  <c r="E7" i="36"/>
  <c r="F7" i="36"/>
  <c r="B7" i="36"/>
  <c r="I56" i="7"/>
  <c r="J56" i="7"/>
  <c r="J67" i="8"/>
  <c r="G34" i="7"/>
  <c r="E48" i="48"/>
  <c r="E49" i="48" s="1"/>
  <c r="E59" i="48" s="1"/>
  <c r="E58" i="48" s="1"/>
  <c r="E41" i="48" s="1"/>
  <c r="C64" i="28"/>
  <c r="R104" i="28"/>
  <c r="C128" i="28" s="1"/>
  <c r="C63" i="28"/>
  <c r="C104" i="28"/>
  <c r="C127" i="28" s="1"/>
  <c r="D61" i="28"/>
  <c r="D60" i="28" s="1"/>
  <c r="D47" i="48" s="1"/>
  <c r="D83" i="28"/>
  <c r="D125" i="28" s="1"/>
  <c r="D124" i="28" s="1"/>
  <c r="D123" i="28" s="1"/>
  <c r="D65" i="51" s="1"/>
  <c r="D67" i="51" s="1"/>
  <c r="C62" i="28"/>
  <c r="R83" i="28"/>
  <c r="C126" i="28" s="1"/>
  <c r="I38" i="10"/>
  <c r="L38" i="10" s="1"/>
  <c r="I52" i="8"/>
  <c r="I82" i="8"/>
  <c r="I67" i="8" s="1"/>
  <c r="H82" i="8"/>
  <c r="H52" i="8"/>
  <c r="I29" i="8"/>
  <c r="H29" i="8"/>
  <c r="I6" i="8"/>
  <c r="I4" i="8" s="1"/>
  <c r="H6" i="8"/>
  <c r="I7" i="25" s="1"/>
  <c r="I46" i="8"/>
  <c r="H46" i="8"/>
  <c r="I49" i="8"/>
  <c r="H49" i="8"/>
  <c r="J37" i="8"/>
  <c r="J22" i="8" s="1"/>
  <c r="I37" i="8"/>
  <c r="H57" i="8"/>
  <c r="J12" i="8"/>
  <c r="I12" i="8"/>
  <c r="G8" i="29" s="1"/>
  <c r="H12" i="8"/>
  <c r="F8" i="29" s="1"/>
  <c r="G175" i="48" l="1"/>
  <c r="F171" i="48"/>
  <c r="F185" i="48" s="1"/>
  <c r="F174" i="48"/>
  <c r="G188" i="48"/>
  <c r="F173" i="48"/>
  <c r="G187" i="48"/>
  <c r="F172" i="48"/>
  <c r="F175" i="48" s="1"/>
  <c r="G186" i="48"/>
  <c r="D207" i="48"/>
  <c r="D206" i="48" s="1"/>
  <c r="C205" i="48"/>
  <c r="C207" i="48" s="1"/>
  <c r="C206" i="48" s="1"/>
  <c r="H183" i="48"/>
  <c r="H56" i="7"/>
  <c r="H17" i="51"/>
  <c r="H18" i="51" s="1"/>
  <c r="H24" i="51"/>
  <c r="N27" i="51" s="1"/>
  <c r="N31" i="51"/>
  <c r="C16" i="17" s="1"/>
  <c r="J17" i="51"/>
  <c r="J18" i="51" s="1"/>
  <c r="J24" i="51"/>
  <c r="E171" i="48"/>
  <c r="E185" i="48" s="1"/>
  <c r="K114" i="8"/>
  <c r="K113" i="8" s="1"/>
  <c r="G177" i="48"/>
  <c r="G180" i="48" s="1"/>
  <c r="G13" i="48" s="1"/>
  <c r="G184" i="48"/>
  <c r="S106" i="48"/>
  <c r="S96" i="48"/>
  <c r="S97" i="48"/>
  <c r="P102" i="48"/>
  <c r="F39" i="48"/>
  <c r="F38" i="48" s="1"/>
  <c r="F97" i="48"/>
  <c r="F98" i="48"/>
  <c r="Q101" i="48"/>
  <c r="R100" i="48"/>
  <c r="K55" i="10"/>
  <c r="K95" i="8"/>
  <c r="K83" i="51"/>
  <c r="K86" i="51" s="1"/>
  <c r="J68" i="10"/>
  <c r="J66" i="10" s="1"/>
  <c r="J65" i="10" s="1"/>
  <c r="J2" i="42"/>
  <c r="H68" i="10"/>
  <c r="H66" i="10" s="1"/>
  <c r="H2" i="42"/>
  <c r="I10" i="42"/>
  <c r="I42" i="7" s="1"/>
  <c r="I18" i="42"/>
  <c r="I11" i="42"/>
  <c r="I43" i="7" s="1"/>
  <c r="I39" i="7" s="1"/>
  <c r="G20" i="48"/>
  <c r="G102" i="48" s="1"/>
  <c r="E60" i="10"/>
  <c r="F100" i="8"/>
  <c r="F12" i="36"/>
  <c r="E4" i="36" s="1"/>
  <c r="E12" i="36" s="1"/>
  <c r="H67" i="8"/>
  <c r="H56" i="8" s="1"/>
  <c r="K73" i="27"/>
  <c r="E16" i="48"/>
  <c r="E8" i="48"/>
  <c r="C28" i="48"/>
  <c r="G9" i="48" s="1"/>
  <c r="D28" i="48"/>
  <c r="E15" i="48"/>
  <c r="E108" i="48" s="1"/>
  <c r="E110" i="48" s="1"/>
  <c r="F10" i="48"/>
  <c r="F19" i="48" s="1"/>
  <c r="F101" i="48" s="1"/>
  <c r="E40" i="48"/>
  <c r="E39" i="48" s="1"/>
  <c r="E38" i="48" s="1"/>
  <c r="F61" i="10"/>
  <c r="G101" i="8"/>
  <c r="E59" i="10"/>
  <c r="F99" i="8"/>
  <c r="G15" i="36"/>
  <c r="G20" i="36" s="1"/>
  <c r="H21" i="36"/>
  <c r="H28" i="36" s="1"/>
  <c r="F22" i="8"/>
  <c r="E52" i="8"/>
  <c r="F34" i="7"/>
  <c r="D48" i="48"/>
  <c r="D49" i="48" s="1"/>
  <c r="D59" i="48" s="1"/>
  <c r="D58" i="48" s="1"/>
  <c r="D41" i="48" s="1"/>
  <c r="C61" i="28"/>
  <c r="C60" i="28" s="1"/>
  <c r="C47" i="48" s="1"/>
  <c r="C48" i="48" s="1"/>
  <c r="C49" i="48" s="1"/>
  <c r="C83" i="28"/>
  <c r="C125" i="28" s="1"/>
  <c r="C124" i="28" s="1"/>
  <c r="C123" i="28" s="1"/>
  <c r="C65" i="51" s="1"/>
  <c r="C67" i="51" s="1"/>
  <c r="E51" i="10"/>
  <c r="I51" i="10" s="1"/>
  <c r="L51" i="10" s="1"/>
  <c r="I45" i="8"/>
  <c r="H45" i="8"/>
  <c r="I15" i="8"/>
  <c r="H16" i="8"/>
  <c r="H15" i="8" s="1"/>
  <c r="I24" i="8"/>
  <c r="I23" i="8" s="1"/>
  <c r="H24" i="8"/>
  <c r="H23" i="8" s="1"/>
  <c r="I57" i="9"/>
  <c r="J57" i="9"/>
  <c r="H57" i="9"/>
  <c r="J57" i="8"/>
  <c r="J56" i="8" s="1"/>
  <c r="I57" i="8"/>
  <c r="I56" i="8" s="1"/>
  <c r="J2" i="8"/>
  <c r="J55" i="7" s="1"/>
  <c r="G183" i="48" l="1"/>
  <c r="E173" i="48"/>
  <c r="F187" i="48"/>
  <c r="E172" i="48"/>
  <c r="F186" i="48"/>
  <c r="E174" i="48"/>
  <c r="F188" i="48"/>
  <c r="F184" i="48"/>
  <c r="F177" i="48"/>
  <c r="F180" i="48" s="1"/>
  <c r="G27" i="51"/>
  <c r="F27" i="51" s="1"/>
  <c r="E27" i="51" s="1"/>
  <c r="D27" i="51" s="1"/>
  <c r="C27" i="51" s="1"/>
  <c r="D171" i="48"/>
  <c r="D185" i="48" s="1"/>
  <c r="R106" i="48"/>
  <c r="R96" i="48"/>
  <c r="R97" i="48"/>
  <c r="G96" i="48"/>
  <c r="O102" i="48"/>
  <c r="E97" i="48"/>
  <c r="E112" i="48"/>
  <c r="E114" i="48" s="1"/>
  <c r="E98" i="48"/>
  <c r="P101" i="48"/>
  <c r="Q100" i="48"/>
  <c r="K57" i="7"/>
  <c r="K106" i="8"/>
  <c r="K108" i="8" s="1"/>
  <c r="K54" i="10"/>
  <c r="J73" i="51"/>
  <c r="K74" i="51"/>
  <c r="K77" i="51" s="1"/>
  <c r="K78" i="51" s="1"/>
  <c r="J58" i="10"/>
  <c r="H10" i="42"/>
  <c r="H42" i="7" s="1"/>
  <c r="H15" i="42"/>
  <c r="H18" i="42"/>
  <c r="H11" i="42"/>
  <c r="H43" i="7" s="1"/>
  <c r="H39" i="7" s="1"/>
  <c r="J10" i="42"/>
  <c r="J42" i="7" s="1"/>
  <c r="J11" i="42"/>
  <c r="J43" i="7" s="1"/>
  <c r="J39" i="7" s="1"/>
  <c r="J18" i="42"/>
  <c r="D60" i="10"/>
  <c r="E100" i="8"/>
  <c r="F26" i="36"/>
  <c r="F27" i="36" s="1"/>
  <c r="F10" i="29"/>
  <c r="G31" i="9"/>
  <c r="G30" i="9" s="1"/>
  <c r="G26" i="9" s="1"/>
  <c r="I31" i="9"/>
  <c r="I30" i="9" s="1"/>
  <c r="G10" i="29"/>
  <c r="G11" i="29" s="1"/>
  <c r="K72" i="27"/>
  <c r="K75" i="27" s="1"/>
  <c r="J93" i="8"/>
  <c r="D15" i="48"/>
  <c r="D108" i="48" s="1"/>
  <c r="D110" i="48" s="1"/>
  <c r="E10" i="48"/>
  <c r="E19" i="48" s="1"/>
  <c r="E101" i="48" s="1"/>
  <c r="F20" i="48"/>
  <c r="F102" i="48" s="1"/>
  <c r="D8" i="48"/>
  <c r="C59" i="48"/>
  <c r="C58" i="48" s="1"/>
  <c r="C41" i="48" s="1"/>
  <c r="G6" i="48"/>
  <c r="G5" i="48" s="1"/>
  <c r="F9" i="48"/>
  <c r="D16" i="48"/>
  <c r="C40" i="48"/>
  <c r="D40" i="48"/>
  <c r="D39" i="48" s="1"/>
  <c r="D38" i="48" s="1"/>
  <c r="E61" i="10"/>
  <c r="F101" i="8"/>
  <c r="D59" i="10"/>
  <c r="E99" i="8"/>
  <c r="J107" i="8"/>
  <c r="F15" i="36"/>
  <c r="F20" i="36" s="1"/>
  <c r="G21" i="36"/>
  <c r="G28" i="36" s="1"/>
  <c r="G82" i="8"/>
  <c r="D4" i="36"/>
  <c r="D12" i="36" s="1"/>
  <c r="E26" i="36"/>
  <c r="E22" i="8"/>
  <c r="D52" i="8"/>
  <c r="E34" i="7"/>
  <c r="H31" i="9"/>
  <c r="H30" i="9" s="1"/>
  <c r="I22" i="8"/>
  <c r="I2" i="8" s="1"/>
  <c r="H21" i="31"/>
  <c r="F183" i="48" l="1"/>
  <c r="D172" i="48"/>
  <c r="E186" i="48"/>
  <c r="E175" i="48"/>
  <c r="E184" i="48" s="1"/>
  <c r="D174" i="48"/>
  <c r="E188" i="48"/>
  <c r="D173" i="48"/>
  <c r="E187" i="48"/>
  <c r="I93" i="8"/>
  <c r="I55" i="7"/>
  <c r="D175" i="48"/>
  <c r="C171" i="48"/>
  <c r="F13" i="48"/>
  <c r="G2" i="7"/>
  <c r="N24" i="17" s="1"/>
  <c r="N26" i="17" s="1"/>
  <c r="G139" i="48"/>
  <c r="G141" i="48" s="1"/>
  <c r="F96" i="48"/>
  <c r="Q106" i="48"/>
  <c r="Q96" i="48"/>
  <c r="Q97" i="48"/>
  <c r="G135" i="48"/>
  <c r="G137" i="48" s="1"/>
  <c r="S135" i="48" s="1"/>
  <c r="S129" i="48" s="1"/>
  <c r="G121" i="48" s="1"/>
  <c r="D97" i="48"/>
  <c r="D112" i="48"/>
  <c r="D114" i="48" s="1"/>
  <c r="D98" i="48"/>
  <c r="O101" i="48"/>
  <c r="P100" i="48"/>
  <c r="J98" i="8"/>
  <c r="I58" i="10"/>
  <c r="J55" i="10"/>
  <c r="E20" i="48"/>
  <c r="E102" i="48" s="1"/>
  <c r="D100" i="8"/>
  <c r="C60" i="10"/>
  <c r="C100" i="8" s="1"/>
  <c r="F11" i="29"/>
  <c r="C39" i="48"/>
  <c r="C38" i="48" s="1"/>
  <c r="C16" i="48"/>
  <c r="E9" i="48"/>
  <c r="F6" i="48"/>
  <c r="F5" i="48" s="1"/>
  <c r="C8" i="48"/>
  <c r="C15" i="48"/>
  <c r="C108" i="48" s="1"/>
  <c r="C110" i="48" s="1"/>
  <c r="D10" i="48"/>
  <c r="D19" i="48" s="1"/>
  <c r="D101" i="48" s="1"/>
  <c r="D61" i="10"/>
  <c r="E101" i="8"/>
  <c r="C59" i="10"/>
  <c r="C99" i="8" s="1"/>
  <c r="D99" i="8"/>
  <c r="I107" i="8"/>
  <c r="D22" i="8"/>
  <c r="C52" i="8"/>
  <c r="C4" i="36"/>
  <c r="C12" i="36" s="1"/>
  <c r="D26" i="36"/>
  <c r="E15" i="36"/>
  <c r="E20" i="36" s="1"/>
  <c r="F21" i="36"/>
  <c r="F28" i="36" s="1"/>
  <c r="F82" i="8"/>
  <c r="E27" i="36"/>
  <c r="D34" i="7"/>
  <c r="C34" i="7"/>
  <c r="C18" i="25"/>
  <c r="C17" i="25"/>
  <c r="E183" i="48" l="1"/>
  <c r="C185" i="48"/>
  <c r="C173" i="48"/>
  <c r="C187" i="48" s="1"/>
  <c r="D187" i="48"/>
  <c r="E177" i="48"/>
  <c r="E180" i="48" s="1"/>
  <c r="E13" i="48" s="1"/>
  <c r="C172" i="48"/>
  <c r="C186" i="48" s="1"/>
  <c r="D186" i="48"/>
  <c r="C174" i="48"/>
  <c r="C188" i="48" s="1"/>
  <c r="D188" i="48"/>
  <c r="F2" i="7"/>
  <c r="M24" i="17" s="1"/>
  <c r="M26" i="17" s="1"/>
  <c r="D177" i="48"/>
  <c r="D180" i="48" s="1"/>
  <c r="D184" i="48"/>
  <c r="E9" i="29"/>
  <c r="G106" i="48"/>
  <c r="F139" i="48"/>
  <c r="F141" i="48" s="1"/>
  <c r="P106" i="48"/>
  <c r="P96" i="48"/>
  <c r="P97" i="48"/>
  <c r="E96" i="48"/>
  <c r="G122" i="48"/>
  <c r="G129" i="48"/>
  <c r="G130" i="48"/>
  <c r="F135" i="48"/>
  <c r="F137" i="48" s="1"/>
  <c r="R135" i="48" s="1"/>
  <c r="R129" i="48" s="1"/>
  <c r="F121" i="48" s="1"/>
  <c r="O100" i="48"/>
  <c r="C97" i="48"/>
  <c r="C112" i="48"/>
  <c r="C114" i="48" s="1"/>
  <c r="C98" i="48"/>
  <c r="J54" i="10"/>
  <c r="J74" i="51"/>
  <c r="J77" i="51" s="1"/>
  <c r="J78" i="51" s="1"/>
  <c r="I73" i="51"/>
  <c r="I98" i="8"/>
  <c r="H58" i="10"/>
  <c r="I55" i="10"/>
  <c r="J96" i="8"/>
  <c r="J114" i="8"/>
  <c r="J113" i="8" s="1"/>
  <c r="D20" i="48"/>
  <c r="D102" i="48" s="1"/>
  <c r="C10" i="48"/>
  <c r="C20" i="48" s="1"/>
  <c r="C102" i="48" s="1"/>
  <c r="D9" i="48"/>
  <c r="E6" i="48"/>
  <c r="E5" i="48" s="1"/>
  <c r="C61" i="10"/>
  <c r="C101" i="8" s="1"/>
  <c r="D101" i="8"/>
  <c r="C22" i="8"/>
  <c r="E82" i="8"/>
  <c r="D27" i="36"/>
  <c r="B4" i="36"/>
  <c r="B12" i="36" s="1"/>
  <c r="C26" i="36"/>
  <c r="D15" i="36"/>
  <c r="D20" i="36" s="1"/>
  <c r="E21" i="36"/>
  <c r="E28" i="36" s="1"/>
  <c r="I12" i="25"/>
  <c r="F19" i="25"/>
  <c r="F18" i="25"/>
  <c r="C27" i="25"/>
  <c r="F32" i="25"/>
  <c r="F23" i="25"/>
  <c r="F12" i="25"/>
  <c r="F11" i="25"/>
  <c r="F22" i="25"/>
  <c r="F20" i="25"/>
  <c r="F6" i="25"/>
  <c r="C24" i="25"/>
  <c r="C12" i="25"/>
  <c r="C11" i="25"/>
  <c r="C8" i="25"/>
  <c r="F5" i="25"/>
  <c r="I9" i="25"/>
  <c r="I5" i="25"/>
  <c r="D183" i="48" l="1"/>
  <c r="C175" i="48"/>
  <c r="F106" i="48"/>
  <c r="E2" i="7"/>
  <c r="E106" i="48" s="1"/>
  <c r="D9" i="29"/>
  <c r="D13" i="48"/>
  <c r="F129" i="48"/>
  <c r="F122" i="48"/>
  <c r="F130" i="48"/>
  <c r="E139" i="48"/>
  <c r="E141" i="48" s="1"/>
  <c r="E135" i="48"/>
  <c r="E137" i="48" s="1"/>
  <c r="Q135" i="48" s="1"/>
  <c r="Q129" i="48" s="1"/>
  <c r="E121" i="48" s="1"/>
  <c r="D96" i="48"/>
  <c r="O106" i="48"/>
  <c r="O96" i="48"/>
  <c r="O97" i="48"/>
  <c r="J95" i="8"/>
  <c r="J57" i="7" s="1"/>
  <c r="J83" i="51"/>
  <c r="J86" i="51" s="1"/>
  <c r="H73" i="51"/>
  <c r="I74" i="51"/>
  <c r="I77" i="51" s="1"/>
  <c r="I78" i="51" s="1"/>
  <c r="I96" i="8"/>
  <c r="I114" i="8"/>
  <c r="I113" i="8" s="1"/>
  <c r="I54" i="10"/>
  <c r="H98" i="8"/>
  <c r="H96" i="8" s="1"/>
  <c r="H83" i="51" s="1"/>
  <c r="H55" i="10"/>
  <c r="C19" i="48"/>
  <c r="C101" i="48" s="1"/>
  <c r="C9" i="48"/>
  <c r="C6" i="48" s="1"/>
  <c r="C5" i="48" s="1"/>
  <c r="D6" i="48"/>
  <c r="D5" i="48" s="1"/>
  <c r="C15" i="36"/>
  <c r="C20" i="36" s="1"/>
  <c r="D21" i="36"/>
  <c r="D28" i="36" s="1"/>
  <c r="B26" i="36"/>
  <c r="D82" i="8"/>
  <c r="C27" i="36"/>
  <c r="C25" i="25"/>
  <c r="F38" i="25"/>
  <c r="F26" i="25"/>
  <c r="C184" i="48" l="1"/>
  <c r="C183" i="48" s="1"/>
  <c r="C177" i="48"/>
  <c r="C180" i="48" s="1"/>
  <c r="C13" i="48" s="1"/>
  <c r="C9" i="29"/>
  <c r="D2" i="7"/>
  <c r="D106" i="48" s="1"/>
  <c r="J106" i="8"/>
  <c r="J108" i="8" s="1"/>
  <c r="E122" i="48"/>
  <c r="E129" i="48"/>
  <c r="E130" i="48"/>
  <c r="D135" i="48"/>
  <c r="D137" i="48" s="1"/>
  <c r="P135" i="48" s="1"/>
  <c r="P129" i="48" s="1"/>
  <c r="D121" i="48" s="1"/>
  <c r="C96" i="48"/>
  <c r="C2" i="7" s="1"/>
  <c r="G73" i="51"/>
  <c r="H74" i="51"/>
  <c r="H80" i="51" s="1"/>
  <c r="H81" i="51" s="1"/>
  <c r="H86" i="51"/>
  <c r="I95" i="8"/>
  <c r="I57" i="7" s="1"/>
  <c r="I83" i="51"/>
  <c r="I86" i="51" s="1"/>
  <c r="C82" i="8"/>
  <c r="B27" i="36"/>
  <c r="B15" i="36"/>
  <c r="B20" i="36" s="1"/>
  <c r="B21" i="36" s="1"/>
  <c r="C21" i="36"/>
  <c r="C28" i="36" s="1"/>
  <c r="F29" i="25"/>
  <c r="C45" i="25" s="1"/>
  <c r="C41" i="25"/>
  <c r="C39" i="25"/>
  <c r="C19" i="25"/>
  <c r="C38" i="25" s="1"/>
  <c r="F25" i="25"/>
  <c r="F27" i="25"/>
  <c r="C35" i="25"/>
  <c r="I106" i="8" l="1"/>
  <c r="I108" i="8" s="1"/>
  <c r="C106" i="48"/>
  <c r="D129" i="48"/>
  <c r="D122" i="48"/>
  <c r="D130" i="48"/>
  <c r="D139" i="48"/>
  <c r="D141" i="48" s="1"/>
  <c r="H77" i="51"/>
  <c r="H78" i="51" s="1"/>
  <c r="O86" i="51"/>
  <c r="N86" i="51"/>
  <c r="C90" i="51"/>
  <c r="C17" i="17" s="1"/>
  <c r="B28" i="36"/>
  <c r="I39" i="25"/>
  <c r="C86" i="51" l="1"/>
  <c r="D86" i="51"/>
  <c r="G86" i="51"/>
  <c r="E86" i="51"/>
  <c r="F86" i="51"/>
  <c r="C38" i="17" l="1"/>
  <c r="J3" i="8" l="1"/>
  <c r="I3" i="8"/>
  <c r="G7" i="29" l="1"/>
  <c r="G6" i="29"/>
  <c r="B17" i="38"/>
  <c r="B53" i="38"/>
  <c r="H38" i="8" l="1"/>
  <c r="H37" i="8" s="1"/>
  <c r="H22" i="8" s="1"/>
  <c r="H36" i="9" l="1"/>
  <c r="H26" i="9" s="1"/>
  <c r="J36" i="9"/>
  <c r="I36" i="9"/>
  <c r="K44" i="9"/>
  <c r="K88" i="9" s="1"/>
  <c r="I26" i="9" l="1"/>
  <c r="I44" i="9" s="1"/>
  <c r="I88" i="9" s="1"/>
  <c r="J26" i="9"/>
  <c r="J44" i="9" s="1"/>
  <c r="H44" i="9"/>
  <c r="H88" i="9" s="1"/>
  <c r="K87" i="9"/>
  <c r="L37" i="51" s="1"/>
  <c r="K51" i="7"/>
  <c r="K72" i="9"/>
  <c r="K78" i="9" s="1"/>
  <c r="H84" i="10"/>
  <c r="H62" i="10" s="1"/>
  <c r="H103" i="8" s="1"/>
  <c r="H95" i="8" s="1"/>
  <c r="C5" i="54" s="1"/>
  <c r="C6" i="54" l="1"/>
  <c r="H14" i="54"/>
  <c r="H15" i="54" s="1"/>
  <c r="H57" i="7"/>
  <c r="H106" i="8"/>
  <c r="J88" i="9"/>
  <c r="J51" i="7"/>
  <c r="I87" i="9"/>
  <c r="J37" i="51" s="1"/>
  <c r="I51" i="7"/>
  <c r="I72" i="9"/>
  <c r="I78" i="9" s="1"/>
  <c r="J87" i="9"/>
  <c r="K37" i="51" s="1"/>
  <c r="J72" i="9"/>
  <c r="J78" i="9" s="1"/>
  <c r="H54" i="10"/>
  <c r="G62" i="10"/>
  <c r="G103" i="8" s="1"/>
  <c r="K17" i="25"/>
  <c r="H72" i="9"/>
  <c r="H87" i="9"/>
  <c r="I37" i="51" s="1"/>
  <c r="H51" i="7"/>
  <c r="H65" i="10"/>
  <c r="F7" i="54" l="1"/>
  <c r="F8" i="54" s="1"/>
  <c r="C7" i="54"/>
  <c r="C8" i="54" s="1"/>
  <c r="G7" i="54"/>
  <c r="G8" i="54" s="1"/>
  <c r="G72" i="10" s="1"/>
  <c r="G70" i="10" s="1"/>
  <c r="G57" i="10" s="1"/>
  <c r="G97" i="8" s="1"/>
  <c r="D7" i="54"/>
  <c r="D8" i="54" s="1"/>
  <c r="E7" i="54"/>
  <c r="E8" i="54" s="1"/>
  <c r="E72" i="10" s="1"/>
  <c r="E70" i="10" s="1"/>
  <c r="M65" i="9"/>
  <c r="G10" i="31"/>
  <c r="G9" i="31" s="1"/>
  <c r="H78" i="9"/>
  <c r="H74" i="9"/>
  <c r="F62" i="10"/>
  <c r="F103" i="8" s="1"/>
  <c r="G15" i="31" l="1"/>
  <c r="G20" i="31" s="1"/>
  <c r="G21" i="31" s="1"/>
  <c r="G76" i="8"/>
  <c r="G69" i="8" s="1"/>
  <c r="G11" i="54" s="1"/>
  <c r="G73" i="9"/>
  <c r="H5" i="8"/>
  <c r="H4" i="8" s="1"/>
  <c r="H59" i="51" s="1"/>
  <c r="H54" i="7"/>
  <c r="I6" i="25"/>
  <c r="I38" i="25" s="1"/>
  <c r="E62" i="10"/>
  <c r="E103" i="8" s="1"/>
  <c r="H62" i="51" l="1"/>
  <c r="H69" i="51" s="1"/>
  <c r="C14" i="17" s="1"/>
  <c r="C39" i="17"/>
  <c r="C42" i="17" s="1"/>
  <c r="G68" i="8"/>
  <c r="E14" i="29"/>
  <c r="H3" i="8"/>
  <c r="H2" i="8"/>
  <c r="D62" i="10"/>
  <c r="G58" i="51" l="1"/>
  <c r="G56" i="51" s="1"/>
  <c r="C69" i="51"/>
  <c r="C62" i="51" s="1"/>
  <c r="G69" i="51"/>
  <c r="G62" i="51" s="1"/>
  <c r="D69" i="51"/>
  <c r="D62" i="51" s="1"/>
  <c r="E69" i="51"/>
  <c r="E62" i="51" s="1"/>
  <c r="F69" i="51"/>
  <c r="F62" i="51" s="1"/>
  <c r="C62" i="10"/>
  <c r="C103" i="8" s="1"/>
  <c r="D103" i="8"/>
  <c r="F10" i="25"/>
  <c r="I36" i="25" s="1"/>
  <c r="F7" i="29"/>
  <c r="F6" i="29"/>
  <c r="H93" i="8"/>
  <c r="H107" i="8"/>
  <c r="H108" i="8" s="1"/>
  <c r="F8" i="25"/>
  <c r="H114" i="8"/>
  <c r="H113" i="8" s="1"/>
  <c r="F17" i="25"/>
  <c r="C43" i="25" s="1"/>
  <c r="H55" i="7"/>
  <c r="C72" i="10"/>
  <c r="C70" i="10" s="1"/>
  <c r="C21" i="17" l="1"/>
  <c r="C22" i="17"/>
  <c r="I37" i="25"/>
  <c r="F30" i="25"/>
  <c r="I17" i="25" s="1"/>
  <c r="C18" i="29"/>
  <c r="F36" i="25"/>
  <c r="F7" i="25"/>
  <c r="I18" i="25" l="1"/>
  <c r="L17" i="25"/>
  <c r="F35" i="25"/>
  <c r="C44" i="25"/>
  <c r="D72" i="10" l="1"/>
  <c r="D70" i="10" s="1"/>
  <c r="F72" i="10"/>
  <c r="F70" i="10" s="1"/>
  <c r="F10" i="31" l="1"/>
  <c r="E10" i="31" s="1"/>
  <c r="D10" i="31" s="1"/>
  <c r="F57" i="10"/>
  <c r="F9" i="31" l="1"/>
  <c r="F76" i="8" s="1"/>
  <c r="F69" i="8" s="1"/>
  <c r="F11" i="54" s="1"/>
  <c r="E9" i="31"/>
  <c r="E76" i="8" s="1"/>
  <c r="E69" i="8" s="1"/>
  <c r="E11" i="54" s="1"/>
  <c r="C10" i="31"/>
  <c r="C9" i="31" s="1"/>
  <c r="D9" i="31"/>
  <c r="E57" i="10"/>
  <c r="F97" i="8"/>
  <c r="F15" i="31" l="1"/>
  <c r="F20" i="31" s="1"/>
  <c r="F21" i="31" s="1"/>
  <c r="E15" i="31"/>
  <c r="E20" i="31" s="1"/>
  <c r="E68" i="8"/>
  <c r="C14" i="29"/>
  <c r="F68" i="8"/>
  <c r="D14" i="29"/>
  <c r="D76" i="8"/>
  <c r="D69" i="8" s="1"/>
  <c r="D15" i="31"/>
  <c r="D20" i="31" s="1"/>
  <c r="D21" i="31" s="1"/>
  <c r="D57" i="10"/>
  <c r="E97" i="8"/>
  <c r="C76" i="8"/>
  <c r="C69" i="8" s="1"/>
  <c r="C15" i="31"/>
  <c r="C20" i="31" s="1"/>
  <c r="C68" i="8" l="1"/>
  <c r="C58" i="51" s="1"/>
  <c r="C56" i="51" s="1"/>
  <c r="C11" i="54"/>
  <c r="D68" i="8"/>
  <c r="D11" i="54"/>
  <c r="E58" i="51"/>
  <c r="E56" i="51" s="1"/>
  <c r="F58" i="51"/>
  <c r="F56" i="51" s="1"/>
  <c r="E21" i="31"/>
  <c r="C21" i="31"/>
  <c r="D97" i="8"/>
  <c r="C57" i="10"/>
  <c r="D58" i="51" l="1"/>
  <c r="D56" i="51" s="1"/>
  <c r="C97" i="8"/>
  <c r="S128" i="48" l="1"/>
  <c r="R128" i="48"/>
  <c r="R124" i="48" l="1"/>
  <c r="R125" i="48"/>
  <c r="S133" i="48"/>
  <c r="S124" i="48"/>
  <c r="S125" i="48"/>
  <c r="R133" i="48"/>
  <c r="Q128" i="48"/>
  <c r="G120" i="48" l="1"/>
  <c r="G3" i="7" s="1"/>
  <c r="Q133" i="48"/>
  <c r="Q124" i="48"/>
  <c r="Q125" i="48"/>
  <c r="F120" i="48"/>
  <c r="F3" i="7" s="1"/>
  <c r="P128" i="48"/>
  <c r="O135" i="48"/>
  <c r="O129" i="48" s="1"/>
  <c r="F6" i="7" l="1"/>
  <c r="F133" i="48"/>
  <c r="D11" i="29"/>
  <c r="F4" i="7"/>
  <c r="G6" i="7"/>
  <c r="G133" i="48"/>
  <c r="E11" i="29"/>
  <c r="G4" i="7"/>
  <c r="P133" i="48"/>
  <c r="P124" i="48"/>
  <c r="P125" i="48"/>
  <c r="E120" i="48"/>
  <c r="E3" i="7" s="1"/>
  <c r="O128" i="48"/>
  <c r="G18" i="7" l="1"/>
  <c r="G30" i="7" s="1"/>
  <c r="F5" i="37" s="1"/>
  <c r="F3" i="37" s="1"/>
  <c r="F28" i="37" s="1"/>
  <c r="F18" i="7"/>
  <c r="F30" i="7" s="1"/>
  <c r="E5" i="37" s="1"/>
  <c r="E3" i="37" s="1"/>
  <c r="E28" i="37" s="1"/>
  <c r="E6" i="7"/>
  <c r="C11" i="29"/>
  <c r="E133" i="48"/>
  <c r="E4" i="7"/>
  <c r="D120" i="48"/>
  <c r="D3" i="7" s="1"/>
  <c r="O133" i="48"/>
  <c r="O124" i="48"/>
  <c r="O125" i="48"/>
  <c r="C122" i="48"/>
  <c r="C130" i="48"/>
  <c r="C129" i="48"/>
  <c r="C135" i="48"/>
  <c r="C137" i="48" s="1"/>
  <c r="C139" i="48"/>
  <c r="C141" i="48" s="1"/>
  <c r="C121" i="48"/>
  <c r="E4" i="37" l="1"/>
  <c r="E29" i="37" s="1"/>
  <c r="E20" i="37" s="1"/>
  <c r="C120" i="48"/>
  <c r="C3" i="7" s="1"/>
  <c r="C6" i="7" s="1"/>
  <c r="F4" i="37"/>
  <c r="F29" i="37" s="1"/>
  <c r="G33" i="7" s="1"/>
  <c r="E18" i="7"/>
  <c r="E30" i="7" s="1"/>
  <c r="D5" i="37" s="1"/>
  <c r="D3" i="37" s="1"/>
  <c r="D28" i="37" s="1"/>
  <c r="E24" i="37"/>
  <c r="F32" i="7"/>
  <c r="E19" i="37"/>
  <c r="D6" i="7"/>
  <c r="D133" i="48"/>
  <c r="D4" i="7"/>
  <c r="F24" i="37"/>
  <c r="F19" i="37"/>
  <c r="G32" i="7"/>
  <c r="E25" i="37" l="1"/>
  <c r="E23" i="37" s="1"/>
  <c r="F10" i="9" s="1"/>
  <c r="C4" i="7"/>
  <c r="C18" i="7" s="1"/>
  <c r="C30" i="7" s="1"/>
  <c r="C133" i="48"/>
  <c r="F25" i="37"/>
  <c r="F23" i="37" s="1"/>
  <c r="F20" i="37"/>
  <c r="F18" i="37" s="1"/>
  <c r="F31" i="37"/>
  <c r="E31" i="37"/>
  <c r="F33" i="7"/>
  <c r="F31" i="7" s="1"/>
  <c r="F35" i="7" s="1"/>
  <c r="D4" i="37"/>
  <c r="D29" i="37" s="1"/>
  <c r="D20" i="37" s="1"/>
  <c r="D18" i="7"/>
  <c r="D30" i="7" s="1"/>
  <c r="C5" i="37" s="1"/>
  <c r="C4" i="37" s="1"/>
  <c r="C29" i="37" s="1"/>
  <c r="G31" i="7"/>
  <c r="G35" i="7" s="1"/>
  <c r="G38" i="7" s="1"/>
  <c r="E18" i="37"/>
  <c r="E17" i="37"/>
  <c r="F87" i="8" s="1"/>
  <c r="E32" i="7"/>
  <c r="D19" i="37"/>
  <c r="D24" i="37"/>
  <c r="E22" i="37" l="1"/>
  <c r="F86" i="8" s="1"/>
  <c r="F83" i="8" s="1"/>
  <c r="F67" i="8" s="1"/>
  <c r="F56" i="8" s="1"/>
  <c r="D25" i="37"/>
  <c r="F17" i="37"/>
  <c r="F3" i="9"/>
  <c r="F44" i="9" s="1"/>
  <c r="F38" i="7"/>
  <c r="F2" i="42" s="1"/>
  <c r="E33" i="7"/>
  <c r="E31" i="7" s="1"/>
  <c r="E35" i="7" s="1"/>
  <c r="C3" i="37"/>
  <c r="C28" i="37" s="1"/>
  <c r="D32" i="7" s="1"/>
  <c r="D31" i="37"/>
  <c r="G3" i="9"/>
  <c r="D23" i="37"/>
  <c r="D22" i="37" s="1"/>
  <c r="E86" i="8" s="1"/>
  <c r="G87" i="8"/>
  <c r="D18" i="37"/>
  <c r="D17" i="37"/>
  <c r="G10" i="9"/>
  <c r="F22" i="37"/>
  <c r="G86" i="8" s="1"/>
  <c r="G83" i="8" s="1"/>
  <c r="G67" i="8" s="1"/>
  <c r="G56" i="8" s="1"/>
  <c r="C25" i="37"/>
  <c r="D33" i="7"/>
  <c r="C20" i="37"/>
  <c r="G17" i="51"/>
  <c r="G18" i="51" s="1"/>
  <c r="D15" i="17" s="1"/>
  <c r="G31" i="51"/>
  <c r="G32" i="51" s="1"/>
  <c r="D16" i="17" s="1"/>
  <c r="G68" i="10"/>
  <c r="G28" i="51"/>
  <c r="G2" i="42"/>
  <c r="B5" i="37"/>
  <c r="E16" i="37" l="1"/>
  <c r="F28" i="51"/>
  <c r="F17" i="51"/>
  <c r="F18" i="51" s="1"/>
  <c r="C24" i="37"/>
  <c r="C23" i="37" s="1"/>
  <c r="F31" i="51"/>
  <c r="F32" i="51" s="1"/>
  <c r="F68" i="10"/>
  <c r="G44" i="9"/>
  <c r="G65" i="9" s="1"/>
  <c r="E38" i="7"/>
  <c r="E17" i="51" s="1"/>
  <c r="E18" i="51" s="1"/>
  <c r="E3" i="9"/>
  <c r="C31" i="37"/>
  <c r="C19" i="37"/>
  <c r="C17" i="37" s="1"/>
  <c r="E10" i="9"/>
  <c r="F16" i="37"/>
  <c r="G10" i="42"/>
  <c r="G42" i="7" s="1"/>
  <c r="F29" i="17" s="1"/>
  <c r="G11" i="42"/>
  <c r="G43" i="7" s="1"/>
  <c r="G39" i="7" s="1"/>
  <c r="G15" i="42"/>
  <c r="F11" i="42"/>
  <c r="F43" i="7" s="1"/>
  <c r="F39" i="7" s="1"/>
  <c r="F10" i="42"/>
  <c r="F42" i="7" s="1"/>
  <c r="E29" i="17" s="1"/>
  <c r="F15" i="42"/>
  <c r="F87" i="9"/>
  <c r="G37" i="51" s="1"/>
  <c r="F88" i="9"/>
  <c r="F65" i="9"/>
  <c r="E87" i="8"/>
  <c r="E83" i="8" s="1"/>
  <c r="E67" i="8" s="1"/>
  <c r="E56" i="8" s="1"/>
  <c r="D16" i="37"/>
  <c r="D31" i="7"/>
  <c r="D35" i="7" s="1"/>
  <c r="B4" i="37"/>
  <c r="B29" i="37" s="1"/>
  <c r="B3" i="37"/>
  <c r="B28" i="37" s="1"/>
  <c r="E2" i="42" l="1"/>
  <c r="E44" i="9"/>
  <c r="E87" i="9" s="1"/>
  <c r="F37" i="51" s="1"/>
  <c r="G87" i="9"/>
  <c r="H37" i="51" s="1"/>
  <c r="G88" i="9"/>
  <c r="E68" i="10"/>
  <c r="E31" i="51"/>
  <c r="E32" i="51" s="1"/>
  <c r="E28" i="51"/>
  <c r="C18" i="37"/>
  <c r="D3" i="9"/>
  <c r="D38" i="7"/>
  <c r="F69" i="9"/>
  <c r="F72" i="9" s="1"/>
  <c r="F75" i="51"/>
  <c r="G12" i="54"/>
  <c r="G19" i="54" s="1"/>
  <c r="F77" i="10"/>
  <c r="F66" i="10" s="1"/>
  <c r="F65" i="10" s="1"/>
  <c r="Q65" i="9"/>
  <c r="I18" i="50" s="1"/>
  <c r="H12" i="54"/>
  <c r="H19" i="54" s="1"/>
  <c r="C11" i="51" s="1"/>
  <c r="G77" i="10"/>
  <c r="G69" i="9"/>
  <c r="G72" i="9" s="1"/>
  <c r="G74" i="9" s="1"/>
  <c r="G75" i="51"/>
  <c r="E30" i="17"/>
  <c r="E58" i="17"/>
  <c r="D10" i="9"/>
  <c r="D44" i="9" s="1"/>
  <c r="C22" i="37"/>
  <c r="D86" i="8" s="1"/>
  <c r="D87" i="8"/>
  <c r="E15" i="42"/>
  <c r="E10" i="42"/>
  <c r="E42" i="7" s="1"/>
  <c r="D29" i="17" s="1"/>
  <c r="E11" i="42"/>
  <c r="E43" i="7" s="1"/>
  <c r="E39" i="7" s="1"/>
  <c r="F30" i="17"/>
  <c r="E57" i="17"/>
  <c r="C32" i="7"/>
  <c r="B19" i="37"/>
  <c r="B24" i="37"/>
  <c r="B31" i="37"/>
  <c r="B20" i="37"/>
  <c r="C33" i="7"/>
  <c r="B25" i="37"/>
  <c r="E65" i="9" l="1"/>
  <c r="E77" i="10" s="1"/>
  <c r="E66" i="10" s="1"/>
  <c r="E65" i="10" s="1"/>
  <c r="E88" i="9"/>
  <c r="D83" i="8"/>
  <c r="D67" i="8" s="1"/>
  <c r="D56" i="8" s="1"/>
  <c r="D88" i="9"/>
  <c r="D87" i="9"/>
  <c r="E37" i="51" s="1"/>
  <c r="D65" i="9"/>
  <c r="D2" i="42"/>
  <c r="D17" i="51"/>
  <c r="D18" i="51" s="1"/>
  <c r="D31" i="51"/>
  <c r="D32" i="51" s="1"/>
  <c r="D28" i="51"/>
  <c r="D68" i="10"/>
  <c r="F73" i="9"/>
  <c r="F74" i="9" s="1"/>
  <c r="G5" i="8"/>
  <c r="G4" i="8" s="1"/>
  <c r="E59" i="17"/>
  <c r="D30" i="17"/>
  <c r="C16" i="37"/>
  <c r="G66" i="10"/>
  <c r="G65" i="10" s="1"/>
  <c r="G58" i="10"/>
  <c r="B23" i="37"/>
  <c r="B18" i="37"/>
  <c r="B17" i="37"/>
  <c r="C31" i="7"/>
  <c r="C35" i="7" s="1"/>
  <c r="E75" i="51" l="1"/>
  <c r="F12" i="54"/>
  <c r="F19" i="54" s="1"/>
  <c r="E69" i="9"/>
  <c r="E72" i="9" s="1"/>
  <c r="F58" i="10"/>
  <c r="G98" i="8"/>
  <c r="G96" i="8" s="1"/>
  <c r="G55" i="10"/>
  <c r="E12" i="54"/>
  <c r="E19" i="54" s="1"/>
  <c r="D69" i="9"/>
  <c r="D72" i="9" s="1"/>
  <c r="D75" i="51"/>
  <c r="D77" i="10"/>
  <c r="D66" i="10" s="1"/>
  <c r="D65" i="10" s="1"/>
  <c r="G59" i="51"/>
  <c r="G55" i="51" s="1"/>
  <c r="G53" i="51" s="1"/>
  <c r="D14" i="17" s="1"/>
  <c r="G3" i="8"/>
  <c r="G2" i="8"/>
  <c r="F5" i="8"/>
  <c r="F4" i="8" s="1"/>
  <c r="E73" i="9"/>
  <c r="E74" i="9" s="1"/>
  <c r="D10" i="42"/>
  <c r="D42" i="7" s="1"/>
  <c r="C29" i="17" s="1"/>
  <c r="C30" i="17" s="1"/>
  <c r="D11" i="42"/>
  <c r="D43" i="7" s="1"/>
  <c r="D39" i="7" s="1"/>
  <c r="D15" i="42"/>
  <c r="C87" i="8"/>
  <c r="C3" i="9"/>
  <c r="C38" i="7"/>
  <c r="C10" i="9"/>
  <c r="B22" i="37"/>
  <c r="C86" i="8" s="1"/>
  <c r="C83" i="8" s="1"/>
  <c r="C67" i="8" s="1"/>
  <c r="C56" i="8" s="1"/>
  <c r="D73" i="9" l="1"/>
  <c r="D74" i="9" s="1"/>
  <c r="E5" i="8"/>
  <c r="E4" i="8" s="1"/>
  <c r="F59" i="51"/>
  <c r="F55" i="51" s="1"/>
  <c r="F53" i="51" s="1"/>
  <c r="F3" i="8"/>
  <c r="F2" i="8"/>
  <c r="F73" i="51"/>
  <c r="G74" i="51"/>
  <c r="G54" i="10"/>
  <c r="G107" i="8"/>
  <c r="G114" i="8"/>
  <c r="G113" i="8" s="1"/>
  <c r="G93" i="8"/>
  <c r="G95" i="8"/>
  <c r="G106" i="8" s="1"/>
  <c r="G83" i="51"/>
  <c r="G91" i="51" s="1"/>
  <c r="D17" i="17" s="1"/>
  <c r="E7" i="29"/>
  <c r="E6" i="29"/>
  <c r="E58" i="10"/>
  <c r="F98" i="8"/>
  <c r="F96" i="8" s="1"/>
  <c r="F55" i="10"/>
  <c r="C44" i="9"/>
  <c r="C88" i="9" s="1"/>
  <c r="C17" i="51"/>
  <c r="C18" i="51" s="1"/>
  <c r="E15" i="17" s="1"/>
  <c r="F15" i="17" s="1"/>
  <c r="C28" i="51"/>
  <c r="C31" i="51"/>
  <c r="C32" i="51" s="1"/>
  <c r="E16" i="17" s="1"/>
  <c r="C68" i="10"/>
  <c r="C2" i="42"/>
  <c r="B16" i="37"/>
  <c r="F16" i="17" l="1"/>
  <c r="E98" i="8"/>
  <c r="E96" i="8" s="1"/>
  <c r="D58" i="10"/>
  <c r="E55" i="10"/>
  <c r="D7" i="29"/>
  <c r="D6" i="29"/>
  <c r="G80" i="51"/>
  <c r="G81" i="51" s="1"/>
  <c r="G77" i="51"/>
  <c r="E73" i="51"/>
  <c r="F54" i="10"/>
  <c r="F74" i="51"/>
  <c r="F80" i="51" s="1"/>
  <c r="F81" i="51" s="1"/>
  <c r="E59" i="51"/>
  <c r="E55" i="51" s="1"/>
  <c r="E53" i="51" s="1"/>
  <c r="E2" i="8"/>
  <c r="E3" i="8"/>
  <c r="F95" i="8"/>
  <c r="F106" i="8" s="1"/>
  <c r="F83" i="51"/>
  <c r="F91" i="51" s="1"/>
  <c r="C54" i="17"/>
  <c r="C5" i="17"/>
  <c r="G108" i="8"/>
  <c r="G3" i="54" s="1"/>
  <c r="F107" i="8"/>
  <c r="F114" i="8"/>
  <c r="F113" i="8" s="1"/>
  <c r="F93" i="8"/>
  <c r="D5" i="8"/>
  <c r="D4" i="8" s="1"/>
  <c r="C73" i="9"/>
  <c r="C65" i="9"/>
  <c r="C75" i="51" s="1"/>
  <c r="C87" i="9"/>
  <c r="D37" i="51" s="1"/>
  <c r="C37" i="51" s="1"/>
  <c r="C41" i="51" s="1"/>
  <c r="C11" i="42"/>
  <c r="C43" i="7" s="1"/>
  <c r="C39" i="7" s="1"/>
  <c r="C15" i="42"/>
  <c r="C10" i="42"/>
  <c r="C42" i="7" s="1"/>
  <c r="C40" i="51" l="1"/>
  <c r="C42" i="51" s="1"/>
  <c r="D18" i="17" s="1"/>
  <c r="F77" i="51"/>
  <c r="F78" i="51" s="1"/>
  <c r="F108" i="8"/>
  <c r="F3" i="54" s="1"/>
  <c r="D59" i="51"/>
  <c r="D55" i="51" s="1"/>
  <c r="D53" i="51" s="1"/>
  <c r="D2" i="8"/>
  <c r="D3" i="8"/>
  <c r="G78" i="51"/>
  <c r="G87" i="51"/>
  <c r="E54" i="10"/>
  <c r="E74" i="51"/>
  <c r="E80" i="51" s="1"/>
  <c r="E81" i="51" s="1"/>
  <c r="D73" i="51"/>
  <c r="C7" i="29"/>
  <c r="C6" i="29"/>
  <c r="D98" i="8"/>
  <c r="D96" i="8" s="1"/>
  <c r="D55" i="10"/>
  <c r="E107" i="8"/>
  <c r="E114" i="8"/>
  <c r="E113" i="8" s="1"/>
  <c r="E93" i="8"/>
  <c r="E95" i="8"/>
  <c r="E106" i="8" s="1"/>
  <c r="E83" i="51"/>
  <c r="E91" i="51" s="1"/>
  <c r="C69" i="9"/>
  <c r="C72" i="9" s="1"/>
  <c r="C74" i="9" s="1"/>
  <c r="C5" i="8" s="1"/>
  <c r="C4" i="8" s="1"/>
  <c r="C59" i="51" s="1"/>
  <c r="C55" i="51" s="1"/>
  <c r="C53" i="51" s="1"/>
  <c r="E14" i="17" s="1"/>
  <c r="F14" i="17" s="1"/>
  <c r="C77" i="10"/>
  <c r="C58" i="10" s="1"/>
  <c r="C98" i="8" s="1"/>
  <c r="C96" i="8" s="1"/>
  <c r="D12" i="54"/>
  <c r="D19" i="54" s="1"/>
  <c r="F87" i="51" l="1"/>
  <c r="E108" i="8"/>
  <c r="E3" i="54" s="1"/>
  <c r="D107" i="8"/>
  <c r="D93" i="8"/>
  <c r="D114" i="8"/>
  <c r="D113" i="8" s="1"/>
  <c r="D74" i="51"/>
  <c r="D80" i="51" s="1"/>
  <c r="D81" i="51" s="1"/>
  <c r="C73" i="51"/>
  <c r="D54" i="10"/>
  <c r="D83" i="51"/>
  <c r="D91" i="51" s="1"/>
  <c r="D95" i="8"/>
  <c r="D106" i="8" s="1"/>
  <c r="C55" i="10"/>
  <c r="C74" i="51" s="1"/>
  <c r="C66" i="10"/>
  <c r="C65" i="10" s="1"/>
  <c r="E77" i="51"/>
  <c r="C3" i="8"/>
  <c r="C2" i="8"/>
  <c r="C93" i="8" s="1"/>
  <c r="C83" i="51"/>
  <c r="C91" i="51" s="1"/>
  <c r="E17" i="17" s="1"/>
  <c r="F17" i="17" s="1"/>
  <c r="C95" i="8"/>
  <c r="C106" i="8" s="1"/>
  <c r="C54" i="10" l="1"/>
  <c r="D108" i="8"/>
  <c r="D3" i="54" s="1"/>
  <c r="E78" i="51"/>
  <c r="E87" i="51"/>
  <c r="D77" i="51"/>
  <c r="C107" i="8"/>
  <c r="C108" i="8" s="1"/>
  <c r="C3" i="54" s="1"/>
  <c r="C114" i="8"/>
  <c r="C113" i="8" s="1"/>
  <c r="C80" i="51"/>
  <c r="C81" i="51" s="1"/>
  <c r="C77" i="51"/>
  <c r="D78" i="51" l="1"/>
  <c r="D87" i="51"/>
  <c r="C78" i="51"/>
  <c r="C87" i="5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B90" authorId="0" shapeId="0" xr:uid="{CF27E183-EDC1-4209-A514-AD5DC1B54C2D}">
      <text>
        <r>
          <rPr>
            <b/>
            <sz val="9"/>
            <color indexed="81"/>
            <rFont val="Tahoma"/>
            <family val="2"/>
          </rPr>
          <t>Conor Barry-Hoke:</t>
        </r>
        <r>
          <rPr>
            <sz val="9"/>
            <color indexed="81"/>
            <rFont val="Tahoma"/>
            <family val="2"/>
          </rPr>
          <t xml:space="preserve">
2 for low, 3 for high</t>
        </r>
      </text>
    </comment>
    <comment ref="B124" authorId="0" shapeId="0" xr:uid="{97AACD42-BC81-4D2C-B449-398E6EABDB0D}">
      <text>
        <r>
          <rPr>
            <b/>
            <sz val="9"/>
            <color indexed="81"/>
            <rFont val="Tahoma"/>
            <family val="2"/>
          </rPr>
          <t>Conor Barry-Hoke:</t>
        </r>
        <r>
          <rPr>
            <sz val="9"/>
            <color indexed="81"/>
            <rFont val="Tahoma"/>
            <family val="2"/>
          </rPr>
          <t xml:space="preserve">
Income breakout based on Misc.
Update manually for different base case</t>
        </r>
      </text>
    </comment>
    <comment ref="H152" authorId="0" shapeId="0" xr:uid="{371FCD00-9127-48C1-B3ED-D7F1014F0EBB}">
      <text>
        <r>
          <rPr>
            <b/>
            <sz val="9"/>
            <color indexed="81"/>
            <rFont val="Tahoma"/>
            <family val="2"/>
          </rPr>
          <t>Conor Barry-Hoke:</t>
        </r>
        <r>
          <rPr>
            <sz val="9"/>
            <color indexed="81"/>
            <rFont val="Tahoma"/>
            <family val="2"/>
          </rPr>
          <t xml:space="preserve">
http://www.4-traders.com/PACCAR-4893/financials/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C11" authorId="0" shapeId="0" xr:uid="{63682AFD-F7A8-4C4C-900D-C3B876C842FF}">
      <text>
        <r>
          <rPr>
            <b/>
            <sz val="9"/>
            <color indexed="81"/>
            <rFont val="Tahoma"/>
            <family val="2"/>
          </rPr>
          <t>Conor Barry-Hoke:</t>
        </r>
        <r>
          <rPr>
            <sz val="9"/>
            <color indexed="81"/>
            <rFont val="Tahoma"/>
            <family val="2"/>
          </rPr>
          <t xml:space="preserve">
See Financing for buildup</t>
        </r>
      </text>
    </comment>
    <comment ref="H53" authorId="0" shapeId="0" xr:uid="{22851F87-9650-464C-8998-13D8E905E46B}">
      <text>
        <r>
          <rPr>
            <b/>
            <sz val="9"/>
            <color indexed="81"/>
            <rFont val="Tahoma"/>
            <family val="2"/>
          </rPr>
          <t>Conor Barry-Hoke:</t>
        </r>
        <r>
          <rPr>
            <sz val="9"/>
            <color indexed="81"/>
            <rFont val="Tahoma"/>
            <family val="2"/>
          </rPr>
          <t xml:space="preserve">
Dec 31 2017</t>
        </r>
      </text>
    </comment>
    <comment ref="H55" authorId="0" shapeId="0" xr:uid="{41F2A698-0507-4BA7-A7EE-B2F667913669}">
      <text>
        <r>
          <rPr>
            <b/>
            <sz val="9"/>
            <color indexed="81"/>
            <rFont val="Tahoma"/>
            <family val="2"/>
          </rPr>
          <t>Conor Barry-Hoke:</t>
        </r>
        <r>
          <rPr>
            <sz val="9"/>
            <color indexed="81"/>
            <rFont val="Tahoma"/>
            <family val="2"/>
          </rPr>
          <t xml:space="preserve">
References current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L17" authorId="0" shapeId="0" xr:uid="{54A7B315-6045-40C1-A843-01A50B71F4EA}">
      <text>
        <r>
          <rPr>
            <b/>
            <sz val="9"/>
            <color indexed="81"/>
            <rFont val="Tahoma"/>
            <family val="2"/>
          </rPr>
          <t>Conor Barry-Hoke:</t>
        </r>
        <r>
          <rPr>
            <sz val="9"/>
            <color indexed="81"/>
            <rFont val="Tahoma"/>
            <family val="2"/>
          </rPr>
          <t xml:space="preserve">
Includes Legal matters</t>
        </r>
      </text>
    </comment>
    <comment ref="K29" authorId="0" shapeId="0" xr:uid="{B14D3406-12D2-424A-BD17-77492891503F}">
      <text>
        <r>
          <rPr>
            <b/>
            <sz val="9"/>
            <color indexed="81"/>
            <rFont val="Tahoma"/>
            <family val="2"/>
          </rPr>
          <t>Conor Barry-Hoke:</t>
        </r>
        <r>
          <rPr>
            <sz val="9"/>
            <color indexed="81"/>
            <rFont val="Tahoma"/>
            <family val="2"/>
          </rPr>
          <t xml:space="preserve">
Includes  Gain of 14 on marketable securities, net</t>
        </r>
      </text>
    </comment>
    <comment ref="L29" authorId="0" shapeId="0" xr:uid="{15C8E499-03F8-420F-9A02-170F99A9496C}">
      <text>
        <r>
          <rPr>
            <b/>
            <sz val="9"/>
            <color indexed="81"/>
            <rFont val="Tahoma"/>
            <family val="2"/>
          </rPr>
          <t>Conor Barry-Hoke:</t>
        </r>
        <r>
          <rPr>
            <sz val="9"/>
            <color indexed="81"/>
            <rFont val="Tahoma"/>
            <family val="2"/>
          </rPr>
          <t xml:space="preserve">
ncludes  Gain of 13 on marketable securities, net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H44" authorId="0" shapeId="0" xr:uid="{B59348AB-9C0F-40E5-A0C4-4D6FE4621D50}">
      <text>
        <r>
          <rPr>
            <b/>
            <sz val="9"/>
            <color indexed="81"/>
            <rFont val="Tahoma"/>
            <family val="2"/>
          </rPr>
          <t>Conor Barry-Hoke:</t>
        </r>
        <r>
          <rPr>
            <sz val="9"/>
            <color indexed="81"/>
            <rFont val="Tahoma"/>
            <family val="2"/>
          </rPr>
          <t xml:space="preserve">
Equity acquisition</t>
        </r>
      </text>
    </comment>
    <comment ref="E49" authorId="0" shapeId="0" xr:uid="{5F1701FB-D143-4AED-8521-7223D29AC7B3}">
      <text>
        <r>
          <rPr>
            <b/>
            <sz val="9"/>
            <color indexed="81"/>
            <rFont val="Tahoma"/>
            <family val="2"/>
          </rPr>
          <t>Conor Barry-Hoke:</t>
        </r>
        <r>
          <rPr>
            <sz val="9"/>
            <color indexed="81"/>
            <rFont val="Tahoma"/>
            <family val="2"/>
          </rPr>
          <t xml:space="preserve">
Paid with new debt 600</t>
        </r>
      </text>
    </comment>
    <comment ref="B62" authorId="0" shapeId="0" xr:uid="{2A067215-B180-4859-A665-E229EA163839}">
      <text>
        <r>
          <rPr>
            <b/>
            <sz val="9"/>
            <color indexed="81"/>
            <rFont val="Tahoma"/>
            <family val="2"/>
          </rPr>
          <t>Conor Barry-Hoke:</t>
        </r>
        <r>
          <rPr>
            <sz val="9"/>
            <color indexed="81"/>
            <rFont val="Tahoma"/>
            <family val="2"/>
          </rPr>
          <t xml:space="preserve">
Review later - not sure of source</t>
        </r>
      </text>
    </comment>
    <comment ref="B87" authorId="0" shapeId="0" xr:uid="{F98919CF-DE64-4364-A404-85647AF33BFA}">
      <text>
        <r>
          <rPr>
            <b/>
            <sz val="9"/>
            <color indexed="81"/>
            <rFont val="Tahoma"/>
            <family val="2"/>
          </rPr>
          <t>Conor Barry-Hoke:</t>
        </r>
        <r>
          <rPr>
            <sz val="9"/>
            <color indexed="81"/>
            <rFont val="Tahoma"/>
            <family val="2"/>
          </rPr>
          <t xml:space="preserve">
Long-term income taxes payable are the result of Tax Legislation and relate to the non-current portion of the one-time transition tax on accumulated foreign earnings. See Note 2, "INCOME TAXES," to our Consolidated Financial Statements for additional information</t>
        </r>
      </text>
    </comment>
    <comment ref="B99" authorId="0" shapeId="0" xr:uid="{C647F371-41E1-453E-B3D2-2DC1615E35B6}">
      <text>
        <r>
          <rPr>
            <b/>
            <sz val="9"/>
            <color indexed="81"/>
            <rFont val="Tahoma"/>
            <family val="2"/>
          </rPr>
          <t>Conor Barry-Hoke:</t>
        </r>
        <r>
          <rPr>
            <sz val="9"/>
            <color indexed="81"/>
            <rFont val="Tahoma"/>
            <family val="2"/>
          </rPr>
          <t xml:space="preserve">
Recorded at cost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B9" authorId="0" shapeId="0" xr:uid="{5B23CBC7-6B68-4E4D-94A5-4B523F1D1221}">
      <text>
        <r>
          <rPr>
            <b/>
            <sz val="9"/>
            <color indexed="81"/>
            <rFont val="Tahoma"/>
            <family val="2"/>
          </rPr>
          <t>Conor Barry-Hoke:</t>
        </r>
        <r>
          <rPr>
            <sz val="9"/>
            <color indexed="81"/>
            <rFont val="Tahoma"/>
            <family val="2"/>
          </rPr>
          <t xml:space="preserve">
Depreciation and amortization as shown on a segment basis excludes the amortization of debt discount and deferred costs that are included in the Consolidated Statements of Income as "Interest expense."</t>
        </r>
      </text>
    </comment>
    <comment ref="B10" authorId="0" shapeId="0" xr:uid="{B072D2DF-212B-4BB6-8518-77253F3CE134}">
      <text>
        <r>
          <rPr>
            <b/>
            <sz val="9"/>
            <color indexed="81"/>
            <rFont val="Tahoma"/>
            <family val="2"/>
          </rPr>
          <t>Conor Barry-Hoke:</t>
        </r>
        <r>
          <rPr>
            <sz val="9"/>
            <color indexed="81"/>
            <rFont val="Tahoma"/>
            <family val="2"/>
          </rPr>
          <t xml:space="preserve">
We remeasured certain deferred tax assets and liabilities based on the rates at which they are expected to reverse in the future, which is generally 21 percent</t>
        </r>
      </text>
    </comment>
    <comment ref="B14" authorId="0" shapeId="0" xr:uid="{DE19768D-CF8A-48E4-B433-6A67B03D30B2}">
      <text>
        <r>
          <rPr>
            <b/>
            <sz val="9"/>
            <color indexed="81"/>
            <rFont val="Tahoma"/>
            <family val="2"/>
          </rPr>
          <t>Conor Barry-Hoke:</t>
        </r>
        <r>
          <rPr>
            <sz val="9"/>
            <color indexed="81"/>
            <rFont val="Tahoma"/>
            <family val="2"/>
          </rPr>
          <t xml:space="preserve">
Not worth it</t>
        </r>
      </text>
    </comment>
    <comment ref="J22" authorId="0" shapeId="0" xr:uid="{F6269E2D-2B28-4385-B5F9-B6C743F68822}">
      <text>
        <r>
          <rPr>
            <b/>
            <sz val="9"/>
            <color indexed="81"/>
            <rFont val="Tahoma"/>
            <family val="2"/>
          </rPr>
          <t>Conor Barry-Hoke:</t>
        </r>
        <r>
          <rPr>
            <sz val="9"/>
            <color indexed="81"/>
            <rFont val="Tahoma"/>
            <family val="2"/>
          </rPr>
          <t xml:space="preserve">
Previously part of other, net</t>
        </r>
      </text>
    </comment>
    <comment ref="K23" authorId="0" shapeId="0" xr:uid="{2C653B67-806A-48F6-A2E1-D1CA37F0D68E}">
      <text>
        <r>
          <rPr>
            <b/>
            <sz val="9"/>
            <color indexed="81"/>
            <rFont val="Tahoma"/>
            <family val="2"/>
          </rPr>
          <t>Conor Barry-Hoke:</t>
        </r>
        <r>
          <rPr>
            <sz val="9"/>
            <color indexed="81"/>
            <rFont val="Tahoma"/>
            <family val="2"/>
          </rPr>
          <t xml:space="preserve">
CBH Reallocated from Other to match income</t>
        </r>
      </text>
    </comment>
    <comment ref="K28" authorId="0" shapeId="0" xr:uid="{DA9F6B11-6521-4E8E-9700-9890F9E61AD0}">
      <text>
        <r>
          <rPr>
            <b/>
            <sz val="9"/>
            <color indexed="81"/>
            <rFont val="Tahoma"/>
            <family val="2"/>
          </rPr>
          <t>Conor Barry-Hoke:</t>
        </r>
        <r>
          <rPr>
            <sz val="9"/>
            <color indexed="81"/>
            <rFont val="Tahoma"/>
            <family val="2"/>
          </rPr>
          <t xml:space="preserve">
Need 2014 10k
</t>
        </r>
      </text>
    </comment>
    <comment ref="K31" authorId="0" shapeId="0" xr:uid="{88A3B2B4-8A2A-47C9-8EF7-6258DDDEDCC9}">
      <text>
        <r>
          <rPr>
            <b/>
            <sz val="9"/>
            <color indexed="81"/>
            <rFont val="Tahoma"/>
            <family val="2"/>
          </rPr>
          <t>Conor Barry-Hoke:</t>
        </r>
        <r>
          <rPr>
            <sz val="9"/>
            <color indexed="81"/>
            <rFont val="Tahoma"/>
            <family val="2"/>
          </rPr>
          <t xml:space="preserve">
Need 2014 10k
</t>
        </r>
      </text>
    </comment>
    <comment ref="K34" authorId="0" shapeId="0" xr:uid="{B0276D13-C11E-4C2E-845D-293A199D868D}">
      <text>
        <r>
          <rPr>
            <b/>
            <sz val="9"/>
            <color indexed="81"/>
            <rFont val="Tahoma"/>
            <family val="2"/>
          </rPr>
          <t>Conor Barry-Hoke:</t>
        </r>
        <r>
          <rPr>
            <sz val="9"/>
            <color indexed="81"/>
            <rFont val="Tahoma"/>
            <family val="2"/>
          </rPr>
          <t xml:space="preserve">
Need 2014 10k
</t>
        </r>
      </text>
    </comment>
    <comment ref="J36" authorId="0" shapeId="0" xr:uid="{086FC667-AE97-4E3C-AF0D-F7233D22271D}">
      <text>
        <r>
          <rPr>
            <b/>
            <sz val="9"/>
            <color indexed="81"/>
            <rFont val="Tahoma"/>
            <family val="2"/>
          </rPr>
          <t>Conor Barry-Hoke:</t>
        </r>
        <r>
          <rPr>
            <sz val="9"/>
            <color indexed="81"/>
            <rFont val="Tahoma"/>
            <family val="2"/>
          </rPr>
          <t xml:space="preserve">
Post period adjustment of +6</t>
        </r>
      </text>
    </comment>
    <comment ref="K37" authorId="0" shapeId="0" xr:uid="{BCF4C533-2B7D-4173-8297-3339F73D9D31}">
      <text>
        <r>
          <rPr>
            <b/>
            <sz val="9"/>
            <color indexed="81"/>
            <rFont val="Tahoma"/>
            <family val="2"/>
          </rPr>
          <t>Conor Barry-Hoke:</t>
        </r>
        <r>
          <rPr>
            <sz val="9"/>
            <color indexed="81"/>
            <rFont val="Tahoma"/>
            <family val="2"/>
          </rPr>
          <t xml:space="preserve">
Need 2014 10k
</t>
        </r>
      </text>
    </comment>
    <comment ref="K40" authorId="0" shapeId="0" xr:uid="{1764EB41-6778-4647-98A3-FEDABF8FF87A}">
      <text>
        <r>
          <rPr>
            <b/>
            <sz val="9"/>
            <color indexed="81"/>
            <rFont val="Tahoma"/>
            <family val="2"/>
          </rPr>
          <t>Conor Barry-Hoke:</t>
        </r>
        <r>
          <rPr>
            <sz val="9"/>
            <color indexed="81"/>
            <rFont val="Tahoma"/>
            <family val="2"/>
          </rPr>
          <t xml:space="preserve">
Need 2014 10k
</t>
        </r>
      </text>
    </comment>
    <comment ref="B47" authorId="0" shapeId="0" xr:uid="{A9A03846-B0AC-4927-8C2B-F037841BE9F4}">
      <text>
        <r>
          <rPr>
            <b/>
            <sz val="9"/>
            <color indexed="81"/>
            <rFont val="Tahoma"/>
            <family val="2"/>
          </rPr>
          <t>Conor Barry-Hoke:</t>
        </r>
        <r>
          <rPr>
            <sz val="9"/>
            <color indexed="81"/>
            <rFont val="Tahoma"/>
            <family val="2"/>
          </rPr>
          <t xml:space="preserve">
We plan to spend between $730 million and $760 million in 2018 on capital expenditures as we
continue with product launches and facility improvements. Approximately 50 percent of our capital expenditures are expected to be invested outside of the
U.S. in 2018.
</t>
        </r>
      </text>
    </comment>
    <comment ref="J49" authorId="0" shapeId="0" xr:uid="{78F4AFE0-2818-4D1A-8467-0DF50B6690F1}">
      <text>
        <r>
          <rPr>
            <b/>
            <sz val="9"/>
            <color indexed="81"/>
            <rFont val="Tahoma"/>
            <family val="2"/>
          </rPr>
          <t>Conor Barry-Hoke:</t>
        </r>
        <r>
          <rPr>
            <sz val="9"/>
            <color indexed="81"/>
            <rFont val="Tahoma"/>
            <family val="2"/>
          </rPr>
          <t xml:space="preserve">
Previously part of Other,net</t>
        </r>
      </text>
    </comment>
    <comment ref="B50" authorId="0" shapeId="0" xr:uid="{E7095242-5A44-4038-92EB-1FE1062D49A8}">
      <text>
        <r>
          <rPr>
            <b/>
            <sz val="9"/>
            <color indexed="81"/>
            <rFont val="Tahoma"/>
            <family val="2"/>
          </rPr>
          <t>Conor Barry-Hoke:</t>
        </r>
        <r>
          <rPr>
            <sz val="9"/>
            <color indexed="81"/>
            <rFont val="Tahoma"/>
            <family val="2"/>
          </rPr>
          <t xml:space="preserve">
Should be segment delta, but doesn't quite line up</t>
        </r>
      </text>
    </comment>
    <comment ref="I54" authorId="0" shapeId="0" xr:uid="{75A249D5-0B9F-460B-8684-26788C23B930}">
      <text>
        <r>
          <rPr>
            <b/>
            <sz val="9"/>
            <color indexed="81"/>
            <rFont val="Tahoma"/>
            <family val="2"/>
          </rPr>
          <t>Conor Barry-Hoke:</t>
        </r>
        <r>
          <rPr>
            <sz val="9"/>
            <color indexed="81"/>
            <rFont val="Tahoma"/>
            <family val="2"/>
          </rPr>
          <t xml:space="preserve">
just is that - record in note 3.</t>
        </r>
      </text>
    </comment>
    <comment ref="J61" authorId="0" shapeId="0" xr:uid="{2AECF783-00B1-45CC-AAB0-5D71702332A5}">
      <text>
        <r>
          <rPr>
            <b/>
            <sz val="9"/>
            <color indexed="81"/>
            <rFont val="Tahoma"/>
            <family val="2"/>
          </rPr>
          <t>Conor Barry-Hoke:</t>
        </r>
        <r>
          <rPr>
            <sz val="9"/>
            <color indexed="81"/>
            <rFont val="Tahoma"/>
            <family val="2"/>
          </rPr>
          <t xml:space="preserve">
Credit line opened 2016</t>
        </r>
      </text>
    </comment>
    <comment ref="B66" authorId="0" shapeId="0" xr:uid="{4E9B271E-6E43-47C1-9179-6CB786DDCB52}">
      <text>
        <r>
          <rPr>
            <b/>
            <sz val="9"/>
            <color indexed="81"/>
            <rFont val="Tahoma"/>
            <family val="2"/>
          </rPr>
          <t>Conor Barry-Hoke:</t>
        </r>
        <r>
          <rPr>
            <sz val="9"/>
            <color indexed="81"/>
            <rFont val="Tahoma"/>
            <family val="2"/>
          </rPr>
          <t xml:space="preserve">
Not worth it 
Current re-authorizaton capacity at $1 bill</t>
        </r>
      </text>
    </comment>
    <comment ref="J67" authorId="0" shapeId="0" xr:uid="{D2E93FEB-AFDD-4225-9A32-B20799E32449}">
      <text>
        <r>
          <rPr>
            <b/>
            <sz val="9"/>
            <color indexed="81"/>
            <rFont val="Tahoma"/>
            <family val="2"/>
          </rPr>
          <t>Conor Barry-Hoke:</t>
        </r>
        <r>
          <rPr>
            <sz val="9"/>
            <color indexed="81"/>
            <rFont val="Tahoma"/>
            <family val="2"/>
          </rPr>
          <t xml:space="preserve">
Previously part of Other, net</t>
        </r>
      </text>
    </comment>
    <comment ref="J68" authorId="0" shapeId="0" xr:uid="{600D9729-3CA9-49E3-B3E6-0336CBA63300}">
      <text>
        <r>
          <rPr>
            <b/>
            <sz val="9"/>
            <color indexed="81"/>
            <rFont val="Tahoma"/>
            <family val="2"/>
          </rPr>
          <t>Conor Barry-Hoke:</t>
        </r>
        <r>
          <rPr>
            <sz val="9"/>
            <color indexed="81"/>
            <rFont val="Tahoma"/>
            <family val="2"/>
          </rPr>
          <t xml:space="preserve">
End of period downward adjustment of 6
CBH addback -2 for Acq of NCI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J54" authorId="0" shapeId="0" xr:uid="{5B297448-ECE4-412D-8FA3-154984EC7906}">
      <text>
        <r>
          <rPr>
            <b/>
            <sz val="9"/>
            <color indexed="81"/>
            <rFont val="Tahoma"/>
            <family val="2"/>
          </rPr>
          <t>Conor Barry-Hoke:</t>
        </r>
        <r>
          <rPr>
            <sz val="9"/>
            <color indexed="81"/>
            <rFont val="Tahoma"/>
            <family val="2"/>
          </rPr>
          <t xml:space="preserve">
Reclassified $83 from Engine segment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B12" authorId="0" shapeId="0" xr:uid="{42974DC1-BF34-46B0-994A-EE39319339EB}">
      <text>
        <r>
          <rPr>
            <b/>
            <sz val="9"/>
            <color indexed="81"/>
            <rFont val="Tahoma"/>
            <family val="2"/>
          </rPr>
          <t>Conor Barry-Hoke:</t>
        </r>
        <r>
          <rPr>
            <sz val="9"/>
            <color indexed="81"/>
            <rFont val="Tahoma"/>
            <family val="2"/>
          </rPr>
          <t xml:space="preserve">
As of 2016: Due to the acquisitions of North American distributors, sales previously recognized as external sales are now included in intersegment sales.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F95" authorId="0" shapeId="0" xr:uid="{EF5BEFAB-B25B-4F52-BE90-5EFC021FFD1B}">
      <text>
        <r>
          <rPr>
            <b/>
            <sz val="9"/>
            <color indexed="81"/>
            <rFont val="Tahoma"/>
            <family val="2"/>
          </rPr>
          <t>Conor Barry-Hoke:</t>
        </r>
        <r>
          <rPr>
            <sz val="9"/>
            <color indexed="81"/>
            <rFont val="Tahoma"/>
            <family val="2"/>
          </rPr>
          <t xml:space="preserve">
3 here</t>
        </r>
      </text>
    </comment>
    <comment ref="L107" authorId="0" shapeId="0" xr:uid="{E59CCCB8-5C7E-4506-8C4B-F79A3371661E}">
      <text>
        <r>
          <rPr>
            <b/>
            <sz val="9"/>
            <color indexed="81"/>
            <rFont val="Tahoma"/>
            <family val="2"/>
          </rPr>
          <t>Conor Barry-Hoke:</t>
        </r>
        <r>
          <rPr>
            <sz val="9"/>
            <color indexed="81"/>
            <rFont val="Tahoma"/>
            <family val="2"/>
          </rPr>
          <t xml:space="preserve">
https://longforecast.com/canadian-dollar-forecast-2017-2018-2019-2020-2021-usd-cad</t>
        </r>
      </text>
    </comment>
    <comment ref="Q108" authorId="0" shapeId="0" xr:uid="{B4566F81-CDEF-44E0-A2B1-8148119A6D06}">
      <text>
        <r>
          <rPr>
            <b/>
            <sz val="9"/>
            <color indexed="81"/>
            <rFont val="Tahoma"/>
            <family val="2"/>
          </rPr>
          <t>Conor Barry-Hoke:</t>
        </r>
        <r>
          <rPr>
            <sz val="9"/>
            <color indexed="81"/>
            <rFont val="Tahoma"/>
            <family val="2"/>
          </rPr>
          <t xml:space="preserve">
https://www.dailyfx.com/eur-usd?ref=TopRates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I72" authorId="0" shapeId="0" xr:uid="{1771808E-8EFD-4400-8FD2-2958F9C4E634}">
      <text>
        <r>
          <rPr>
            <b/>
            <sz val="9"/>
            <color indexed="81"/>
            <rFont val="Tahoma"/>
            <family val="2"/>
          </rPr>
          <t>Conor Barry-Hoke:</t>
        </r>
        <r>
          <rPr>
            <sz val="9"/>
            <color indexed="81"/>
            <rFont val="Tahoma"/>
            <family val="2"/>
          </rPr>
          <t xml:space="preserve">
Accounting change results in reclassification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A12" authorId="0" shapeId="0" xr:uid="{FDCE5F32-576F-4956-89FB-0528FDF80BC1}">
      <text>
        <r>
          <rPr>
            <b/>
            <sz val="9"/>
            <color indexed="81"/>
            <rFont val="Tahoma"/>
            <family val="2"/>
          </rPr>
          <t>Conor Barry-Hoke:</t>
        </r>
        <r>
          <rPr>
            <sz val="9"/>
            <color indexed="81"/>
            <rFont val="Tahoma"/>
            <family val="2"/>
          </rPr>
          <t xml:space="preserve">
Includes North American distributors (1) 2015 - 2014</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B22" authorId="0" shapeId="0" xr:uid="{B74222EB-25FD-4555-9075-A1EB810545DF}">
      <text>
        <r>
          <rPr>
            <b/>
            <sz val="9"/>
            <color indexed="81"/>
            <rFont val="Tahoma"/>
            <family val="2"/>
          </rPr>
          <t>Conor Barry-Hoke:</t>
        </r>
        <r>
          <rPr>
            <sz val="9"/>
            <color indexed="81"/>
            <rFont val="Tahoma"/>
            <family val="2"/>
          </rPr>
          <t xml:space="preserve">
Not worth it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N22" authorId="0" shapeId="0" xr:uid="{7AFB08F7-F3B4-44A5-AC49-D073076C972E}">
      <text>
        <r>
          <rPr>
            <b/>
            <sz val="9"/>
            <color indexed="81"/>
            <rFont val="Tahoma"/>
            <family val="2"/>
          </rPr>
          <t>Conor Barry-Hoke:</t>
        </r>
        <r>
          <rPr>
            <sz val="9"/>
            <color indexed="81"/>
            <rFont val="Tahoma"/>
            <family val="2"/>
          </rPr>
          <t xml:space="preserve">
Similar to 2014/2015 effort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H1" authorId="0" shapeId="0" xr:uid="{135FC145-0B2A-4F4B-8966-63DF121875FB}">
      <text>
        <r>
          <rPr>
            <b/>
            <sz val="9"/>
            <color indexed="81"/>
            <rFont val="Tahoma"/>
            <family val="2"/>
          </rPr>
          <t>Conor Barry-Hoke:</t>
        </r>
        <r>
          <rPr>
            <sz val="9"/>
            <color indexed="81"/>
            <rFont val="Tahoma"/>
            <family val="2"/>
          </rPr>
          <t xml:space="preserve">
All results from acquired entities (excluding Brammo Inc.) were included in segment results subsequent to the acquisition date. Previously consolidated entities were accounted for
as equity transactions (EQUITY). Newly consolidated entities were accounted for as business combinations (COMB) with gains recognized based on the requirement to remeasure
our pre-existing ownership to fair value in accordance with GAAP and are included in the Consolidated Statements of Income as "Other income, net. The Brammo Inc. acquisition
had not yet been assigned to a reportable segment at December 31, 2017</t>
        </r>
      </text>
    </comment>
    <comment ref="I1" authorId="0" shapeId="0" xr:uid="{10015551-8127-4985-8D1C-194C0F77B555}">
      <text>
        <r>
          <rPr>
            <b/>
            <sz val="9"/>
            <color indexed="81"/>
            <rFont val="Tahoma"/>
            <family val="2"/>
          </rPr>
          <t>Conor Barry-Hoke:</t>
        </r>
        <r>
          <rPr>
            <sz val="9"/>
            <color indexed="81"/>
            <rFont val="Tahoma"/>
            <family val="2"/>
          </rPr>
          <t xml:space="preserve">
All results from acquired entities (excluding Brammo Inc.) were included in segment results subsequent to the acquisition date. Previously consolidated entities were accounted for
as equity transactions (EQUITY). Newly consolidated entities were accounted for as business combinations (COMB) with gains recognized based on the requirement to remeasure
our pre-existing ownership to fair value in accordance with GAAP and are included in the Consolidated Statements of Income as "Other income, net. The Brammo Inc. acquisition
had not yet been assigned to a reportable segment at December 31, 2017</t>
        </r>
      </text>
    </comment>
    <comment ref="K1" authorId="0" shapeId="0" xr:uid="{CF908655-4035-475B-92D2-0C9D3585D5D2}">
      <text>
        <r>
          <rPr>
            <b/>
            <sz val="9"/>
            <color indexed="81"/>
            <rFont val="Tahoma"/>
            <family val="2"/>
          </rPr>
          <t>Conor Barry-Hoke:</t>
        </r>
        <r>
          <rPr>
            <sz val="9"/>
            <color indexed="81"/>
            <rFont val="Tahoma"/>
            <family val="2"/>
          </rPr>
          <t xml:space="preserve">
 Intangible assets acquired in business combinations were mostly customer and technology related, the majority of which will be amortized over a period of`up to 25 years from the date of the acquisition</t>
        </r>
      </text>
    </comment>
    <comment ref="B3" authorId="0" shapeId="0" xr:uid="{3BE463CA-E154-429C-8D81-B26DF2BB2489}">
      <text>
        <r>
          <rPr>
            <b/>
            <sz val="9"/>
            <color indexed="81"/>
            <rFont val="Tahoma"/>
            <family val="2"/>
          </rPr>
          <t>Conor Barry-Hoke:</t>
        </r>
        <r>
          <rPr>
            <sz val="9"/>
            <color indexed="81"/>
            <rFont val="Tahoma"/>
            <family val="2"/>
          </rPr>
          <t xml:space="preserve">
The "Total Purchase Consideration" represents the total amount that will or is estimated to be paid to complete the acquisition. A portion of the Brammo Inc. acquisition payment
has not yet been made and will be paid in future periods in accordance with the purchase contract. The Brammo Inc. acquisition contains an earnout based on future results of the
acquired business and could result in a maximum contingent consideration payment of $100 million (fair value of $5 million) to the former owners.</t>
        </r>
      </text>
    </comment>
    <comment ref="B4" authorId="0" shapeId="0" xr:uid="{1C5F5DD2-9F0B-477C-B935-1F16B6457CFE}">
      <text>
        <r>
          <rPr>
            <b/>
            <sz val="9"/>
            <color indexed="81"/>
            <rFont val="Tahoma"/>
            <family val="2"/>
          </rPr>
          <t>Conor Barry-Hoke:</t>
        </r>
        <r>
          <rPr>
            <sz val="9"/>
            <color indexed="81"/>
            <rFont val="Tahoma"/>
            <family val="2"/>
          </rPr>
          <t xml:space="preserve">
This transaction created a newly formed joint venture that we consolidated. See additional information below.</t>
        </r>
      </text>
    </comment>
    <comment ref="E10" authorId="0" shapeId="0" xr:uid="{DCE2CFD9-1049-4EEB-8A68-83DD2B875836}">
      <text>
        <r>
          <rPr>
            <b/>
            <sz val="9"/>
            <color indexed="81"/>
            <rFont val="Tahoma"/>
            <family val="2"/>
          </rPr>
          <t>Conor Barry-Hoke:</t>
        </r>
        <r>
          <rPr>
            <sz val="9"/>
            <color indexed="81"/>
            <rFont val="Tahoma"/>
            <family val="2"/>
          </rPr>
          <t xml:space="preserve">
Previously 28</t>
        </r>
      </text>
    </comment>
    <comment ref="E11" authorId="0" shapeId="0" xr:uid="{E3C78713-2859-42E7-A875-41011DE5440F}">
      <text>
        <r>
          <rPr>
            <b/>
            <sz val="9"/>
            <color indexed="81"/>
            <rFont val="Tahoma"/>
            <family val="2"/>
          </rPr>
          <t>Conor Barry-Hoke:</t>
        </r>
        <r>
          <rPr>
            <sz val="9"/>
            <color indexed="81"/>
            <rFont val="Tahoma"/>
            <family val="2"/>
          </rPr>
          <t xml:space="preserve">
Previously 20</t>
        </r>
      </text>
    </comment>
    <comment ref="B27" authorId="0" shapeId="0" xr:uid="{E125383F-EEDF-47F3-8452-3AE56B6A73FC}">
      <text>
        <r>
          <rPr>
            <b/>
            <sz val="9"/>
            <color indexed="81"/>
            <rFont val="Tahoma"/>
            <family val="2"/>
          </rPr>
          <t>Conor Barry-Hoke:</t>
        </r>
        <r>
          <rPr>
            <sz val="9"/>
            <color indexed="81"/>
            <rFont val="Tahoma"/>
            <family val="2"/>
          </rPr>
          <t xml:space="preserve">
4) This transaction created a newly formed joint venture that we consolidated. See additional information below.
</t>
        </r>
      </text>
    </comment>
    <comment ref="B28" authorId="0" shapeId="0" xr:uid="{B54B6A98-B936-48B8-94C2-7B352302DFF5}">
      <text>
        <r>
          <rPr>
            <b/>
            <sz val="9"/>
            <color indexed="81"/>
            <rFont val="Tahoma"/>
            <family val="2"/>
          </rPr>
          <t>Conor Barry-Hoke:</t>
        </r>
        <r>
          <rPr>
            <sz val="9"/>
            <color indexed="81"/>
            <rFont val="Tahoma"/>
            <family val="2"/>
          </rPr>
          <t xml:space="preserve">
Sales amounts are not fully incremental to our consolidated sales as the amount would be reduced by the elimination of sales to the previously unconsolidated entity.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Conor Barry-Hoke</author>
  </authors>
  <commentList>
    <comment ref="F9" authorId="0" shapeId="0" xr:uid="{B7178536-09B2-4A85-B2C3-4A0ED7D07945}">
      <text>
        <r>
          <rPr>
            <b/>
            <sz val="9"/>
            <color indexed="81"/>
            <rFont val="Tahoma"/>
            <family val="2"/>
          </rPr>
          <t>Conor Barry-Hoke:</t>
        </r>
        <r>
          <rPr>
            <sz val="9"/>
            <color indexed="81"/>
            <rFont val="Tahoma"/>
            <family val="2"/>
          </rPr>
          <t xml:space="preserve">
Missing some adjustment here
</t>
        </r>
      </text>
    </comment>
  </commentList>
</comments>
</file>

<file path=xl/sharedStrings.xml><?xml version="1.0" encoding="utf-8"?>
<sst xmlns="http://schemas.openxmlformats.org/spreadsheetml/2006/main" count="3849" uniqueCount="1388">
  <si>
    <t>Description</t>
  </si>
  <si>
    <t>Interest expense</t>
  </si>
  <si>
    <t>Other, net</t>
  </si>
  <si>
    <t>Current Assets</t>
  </si>
  <si>
    <t>Cash and cash equivalents</t>
  </si>
  <si>
    <t>Prepaid expenses and other current assets</t>
  </si>
  <si>
    <t>Total Assets</t>
  </si>
  <si>
    <t>Current Liabilities</t>
  </si>
  <si>
    <t>Long-term debt</t>
  </si>
  <si>
    <t>Depreciation</t>
  </si>
  <si>
    <t>Total assets</t>
  </si>
  <si>
    <t>Intersegment eliminations</t>
  </si>
  <si>
    <t>Capital expenditures</t>
  </si>
  <si>
    <t>Effective Tax Rate</t>
  </si>
  <si>
    <t>Basic</t>
  </si>
  <si>
    <t>Total</t>
  </si>
  <si>
    <t>Current Price</t>
  </si>
  <si>
    <t>Expected Return</t>
  </si>
  <si>
    <t>Enterprise Value</t>
  </si>
  <si>
    <t>Shares outstanding</t>
  </si>
  <si>
    <t>Mkt Cap</t>
  </si>
  <si>
    <t>Market Cap</t>
  </si>
  <si>
    <t>Cash</t>
  </si>
  <si>
    <t>EV</t>
  </si>
  <si>
    <t>EBITDA</t>
  </si>
  <si>
    <t>EBIT</t>
  </si>
  <si>
    <t>Price</t>
  </si>
  <si>
    <t>ROIC</t>
  </si>
  <si>
    <t>Industry P/E</t>
  </si>
  <si>
    <t>DCF</t>
  </si>
  <si>
    <t>FY18 EV / EBITDA</t>
  </si>
  <si>
    <t>Multiple</t>
  </si>
  <si>
    <t>Quarterly</t>
  </si>
  <si>
    <t>Annual</t>
  </si>
  <si>
    <t>Forward EPS</t>
  </si>
  <si>
    <t>Consensus</t>
  </si>
  <si>
    <t>Low</t>
  </si>
  <si>
    <t>Median</t>
  </si>
  <si>
    <t>High</t>
  </si>
  <si>
    <t>Us</t>
  </si>
  <si>
    <t>Methodology</t>
  </si>
  <si>
    <t>Capitalization</t>
  </si>
  <si>
    <t>Shares Outstanding</t>
  </si>
  <si>
    <t>(-): Cash</t>
  </si>
  <si>
    <t>(+): Debt</t>
  </si>
  <si>
    <t>(+): Minority Interest</t>
  </si>
  <si>
    <t>Debt</t>
  </si>
  <si>
    <t>Trading Stats</t>
  </si>
  <si>
    <t>Target Price</t>
  </si>
  <si>
    <t>2017 P / E</t>
  </si>
  <si>
    <t>2018 P / E</t>
  </si>
  <si>
    <t>52 Week Hi / Lo</t>
  </si>
  <si>
    <t>2017 EV / EBITDA</t>
  </si>
  <si>
    <t>2018 EPS</t>
  </si>
  <si>
    <t>Return on Assets</t>
  </si>
  <si>
    <t>Bear</t>
  </si>
  <si>
    <t>Bull</t>
  </si>
  <si>
    <t>Base</t>
  </si>
  <si>
    <t>Assumptions</t>
  </si>
  <si>
    <t>2019 EPS</t>
  </si>
  <si>
    <t>Consensus Summary</t>
  </si>
  <si>
    <t>Our estimate</t>
  </si>
  <si>
    <t>Consensus (Mean)</t>
  </si>
  <si>
    <t>Projected Revenues</t>
  </si>
  <si>
    <t>Projected Surprise</t>
  </si>
  <si>
    <t>Shares</t>
  </si>
  <si>
    <t>Revenue</t>
  </si>
  <si>
    <t>Liabilities</t>
  </si>
  <si>
    <t>Inventories</t>
  </si>
  <si>
    <t>Net Income</t>
  </si>
  <si>
    <t>Sh. Equity</t>
  </si>
  <si>
    <t>Net Profit</t>
  </si>
  <si>
    <t>Revenue (Sales)</t>
  </si>
  <si>
    <t>Income</t>
  </si>
  <si>
    <t>Balance</t>
  </si>
  <si>
    <t>Cost of Sales</t>
  </si>
  <si>
    <t>Ratios</t>
  </si>
  <si>
    <t>Current Ratio</t>
  </si>
  <si>
    <t>Quick Ratio</t>
  </si>
  <si>
    <t>Return on Equity</t>
  </si>
  <si>
    <t>Profit Margin</t>
  </si>
  <si>
    <t>Net Profit Margin</t>
  </si>
  <si>
    <t>Avg Total Assets</t>
  </si>
  <si>
    <t>Avg Total Equity</t>
  </si>
  <si>
    <t>Calculated Values</t>
  </si>
  <si>
    <t>FCF</t>
  </si>
  <si>
    <t>FCFE</t>
  </si>
  <si>
    <t>CCC</t>
  </si>
  <si>
    <t>Days Inv Outstanding</t>
  </si>
  <si>
    <t>Days Sales Outstanding</t>
  </si>
  <si>
    <t>Days Payable Outstanding</t>
  </si>
  <si>
    <t>Avg Inventory</t>
  </si>
  <si>
    <t>Avg Accounts Payable</t>
  </si>
  <si>
    <t>Avg Accounts Receivable</t>
  </si>
  <si>
    <t>Cash Ratio</t>
  </si>
  <si>
    <t>Beginning Cash</t>
  </si>
  <si>
    <t>Ending Cash</t>
  </si>
  <si>
    <t>Marketable Securities</t>
  </si>
  <si>
    <t>Return on Capital Employed</t>
  </si>
  <si>
    <t>Gross</t>
  </si>
  <si>
    <t>Operating</t>
  </si>
  <si>
    <t>Pretax</t>
  </si>
  <si>
    <t>Gross Profit</t>
  </si>
  <si>
    <t>Operating Profit</t>
  </si>
  <si>
    <t>Metrics</t>
  </si>
  <si>
    <t>Capital Employed</t>
  </si>
  <si>
    <t>Avg Debt</t>
  </si>
  <si>
    <t>Debt to Equity</t>
  </si>
  <si>
    <t>Debt Ratio</t>
  </si>
  <si>
    <t>Interest Coverage</t>
  </si>
  <si>
    <t>Cash Flow to Debt</t>
  </si>
  <si>
    <t>Interest</t>
  </si>
  <si>
    <t>Tax</t>
  </si>
  <si>
    <t>Amortization</t>
  </si>
  <si>
    <t>Tax Rate</t>
  </si>
  <si>
    <t>Delta WC</t>
  </si>
  <si>
    <t>Capex</t>
  </si>
  <si>
    <t>Net Borrow (Debt Issued - Repaid)</t>
  </si>
  <si>
    <t>Firm</t>
  </si>
  <si>
    <t>Analyst</t>
  </si>
  <si>
    <t>Argus Research</t>
  </si>
  <si>
    <t>John Eade</t>
  </si>
  <si>
    <t>Avondale Partners, LLC</t>
  </si>
  <si>
    <t>Igor Maryasis</t>
  </si>
  <si>
    <t>Bank of America Merrill Lynch</t>
  </si>
  <si>
    <t>Ross Gilardi</t>
  </si>
  <si>
    <t>Barclays Capital Inc.</t>
  </si>
  <si>
    <t>Robert Wertheimer</t>
  </si>
  <si>
    <t>BB&amp;T Capital Markets</t>
  </si>
  <si>
    <t>Rhem Wood</t>
  </si>
  <si>
    <t>BMO Capital Research</t>
  </si>
  <si>
    <t>Joel Tiss</t>
  </si>
  <si>
    <t>Buckingham Research</t>
  </si>
  <si>
    <t>Jeff Kauffman</t>
  </si>
  <si>
    <t>CITI Investment Research (US)</t>
  </si>
  <si>
    <t>Tim Thein</t>
  </si>
  <si>
    <t>Cleveland Research Co.</t>
  </si>
  <si>
    <t>Adam Uhlman</t>
  </si>
  <si>
    <t>Credit Suisse Securities (USA)</t>
  </si>
  <si>
    <t>Jamie  Cook</t>
  </si>
  <si>
    <t>Deutsche Bank Equity Research</t>
  </si>
  <si>
    <t>Nicole DeBlase</t>
  </si>
  <si>
    <t>Evercore ISI</t>
  </si>
  <si>
    <t>David Raso</t>
  </si>
  <si>
    <t>First Global Research</t>
  </si>
  <si>
    <t>Kavita Thomas</t>
  </si>
  <si>
    <t>Goldman Sachs &amp; Co. Inc.</t>
  </si>
  <si>
    <t>Jerry  Revich</t>
  </si>
  <si>
    <t>J.P. Morgan Securities, Inc.</t>
  </si>
  <si>
    <t>Ann P. Duignan</t>
  </si>
  <si>
    <t>Jefferies &amp; Co. Inc.</t>
  </si>
  <si>
    <t>Stephen E. Volkmann</t>
  </si>
  <si>
    <t>Longbow Research</t>
  </si>
  <si>
    <t>Neil Frohnapple</t>
  </si>
  <si>
    <t>Macquarie Capital</t>
  </si>
  <si>
    <t>Sameer  Rathod</t>
  </si>
  <si>
    <t>Morningstar, Inc.</t>
  </si>
  <si>
    <t>Kwame Webb</t>
  </si>
  <si>
    <t>Piper Jaffray &amp; Co.</t>
  </si>
  <si>
    <t>Alexander E. Potter</t>
  </si>
  <si>
    <t>RBC Capital Markets</t>
  </si>
  <si>
    <t>Seth Weber</t>
  </si>
  <si>
    <t>Robt. W Baird &amp; Co. Inc.</t>
  </si>
  <si>
    <t>David Leiker</t>
  </si>
  <si>
    <t>Stifel Nicolaus &amp; Co.</t>
  </si>
  <si>
    <t>Michael Baudendistal</t>
  </si>
  <si>
    <t>Tigress Financial Partners</t>
  </si>
  <si>
    <t>Ivan Feinseth</t>
  </si>
  <si>
    <t>UBS Securities, LLC (US)</t>
  </si>
  <si>
    <t>Steven Fisher</t>
  </si>
  <si>
    <t>Vertical Research Partners LLC</t>
  </si>
  <si>
    <t>Joseph O'Dea</t>
  </si>
  <si>
    <t>Wells Fargo Securities, LLC</t>
  </si>
  <si>
    <t>Andy  Casey</t>
  </si>
  <si>
    <t>Wm. Blair &amp; Company, LLC</t>
  </si>
  <si>
    <t>Lawrence DeMaria</t>
  </si>
  <si>
    <t>Wolfe Research</t>
  </si>
  <si>
    <t>Scott  H. Group</t>
  </si>
  <si>
    <t>Stock Information</t>
  </si>
  <si>
    <t>Price (Prev Close):</t>
  </si>
  <si>
    <t>Median Price Target:</t>
  </si>
  <si>
    <t>Price - 52 Week High</t>
  </si>
  <si>
    <t>Diff from Prev Close:</t>
  </si>
  <si>
    <t>Price - 52 Week Low</t>
  </si>
  <si>
    <t>% Difference:</t>
  </si>
  <si>
    <t>Price Date (Latest):</t>
  </si>
  <si>
    <t>Analyst Ratings</t>
  </si>
  <si>
    <t>1-Strong Buy</t>
  </si>
  <si>
    <t>2-Buy</t>
  </si>
  <si>
    <t>3-Hold</t>
  </si>
  <si>
    <t>4-Underperform</t>
  </si>
  <si>
    <t>5-Sell</t>
  </si>
  <si>
    <t>Last Month Revisions</t>
  </si>
  <si>
    <t>Fiscal Period</t>
  </si>
  <si>
    <t>Mean</t>
  </si>
  <si>
    <t># of Estimates</t>
  </si>
  <si>
    <t>#Up</t>
  </si>
  <si>
    <t>#Down</t>
  </si>
  <si>
    <t>Mean % Change</t>
  </si>
  <si>
    <t>Long Term Growth</t>
  </si>
  <si>
    <t>Analyst Forecasts - EPS</t>
  </si>
  <si>
    <t>Reported EPS</t>
  </si>
  <si>
    <t>Mean Estimate</t>
  </si>
  <si>
    <t>Surprise % Change</t>
  </si>
  <si>
    <t>Actual EPS</t>
  </si>
  <si>
    <t>nalyst Forecasts - EBI</t>
  </si>
  <si>
    <t>Actuals - EBI</t>
  </si>
  <si>
    <t>Analyst Forecasts - EBT</t>
  </si>
  <si>
    <t>Actuals - EBT</t>
  </si>
  <si>
    <t>Analyst Forecasts - SAL</t>
  </si>
  <si>
    <t>Actuals - SAL</t>
  </si>
  <si>
    <t>Engine Segment</t>
  </si>
  <si>
    <t xml:space="preserve">Percent of consolidated net sales(1) </t>
  </si>
  <si>
    <t xml:space="preserve">Percent of consolidated EBIT(1) </t>
  </si>
  <si>
    <t>Distribution Segment</t>
  </si>
  <si>
    <t>Percent of consolidated net sales(1)</t>
  </si>
  <si>
    <t>Percent of consolidated EBIT(1</t>
  </si>
  <si>
    <t>Percent of consolidated EBIT(1)</t>
  </si>
  <si>
    <t>Components</t>
  </si>
  <si>
    <t>Segment</t>
  </si>
  <si>
    <t>Components Segment</t>
  </si>
  <si>
    <t>Percent of consolidated net sales(1</t>
  </si>
  <si>
    <t>Power Systems Segment</t>
  </si>
  <si>
    <t>Percent of consolidated EBIT(</t>
  </si>
  <si>
    <t>Distribution entities</t>
  </si>
  <si>
    <t>Engine</t>
  </si>
  <si>
    <t>Manufacturing Entities</t>
  </si>
  <si>
    <t xml:space="preserve">Komatsu Cummins Chile, Ltda. </t>
  </si>
  <si>
    <t xml:space="preserve">North American distributors </t>
  </si>
  <si>
    <t xml:space="preserve">All other distributors  </t>
  </si>
  <si>
    <t xml:space="preserve">Dongfeng Cummins Emission Solutions Co., Ltd. </t>
  </si>
  <si>
    <t xml:space="preserve">Shanghai Fleetguard Filter Co., Ltd. </t>
  </si>
  <si>
    <t xml:space="preserve">Cummins Westport, Inc. </t>
  </si>
  <si>
    <t>Cummins share of net income</t>
  </si>
  <si>
    <t>Equity Income Components</t>
  </si>
  <si>
    <t>India</t>
  </si>
  <si>
    <t>Reimbursements</t>
  </si>
  <si>
    <t>R&amp;D Net (grants treated as offset to cost)</t>
  </si>
  <si>
    <t>Total R&amp;D</t>
  </si>
  <si>
    <t xml:space="preserve">R&amp;D </t>
  </si>
  <si>
    <t>EPA Standards portion</t>
  </si>
  <si>
    <t>Manufacturing Facilities</t>
  </si>
  <si>
    <t>US Facilities</t>
  </si>
  <si>
    <t>Facilities Outside the US</t>
  </si>
  <si>
    <t>Indiana</t>
  </si>
  <si>
    <t>New York</t>
  </si>
  <si>
    <t>North Carolina</t>
  </si>
  <si>
    <t>South Carolina</t>
  </si>
  <si>
    <t>Tennessee</t>
  </si>
  <si>
    <t>Wisconsin</t>
  </si>
  <si>
    <t>Power Systems</t>
  </si>
  <si>
    <t>Minnesota</t>
  </si>
  <si>
    <t>New Mexico</t>
  </si>
  <si>
    <t>Brazil</t>
  </si>
  <si>
    <t>UK</t>
  </si>
  <si>
    <t>Australia</t>
  </si>
  <si>
    <t>China</t>
  </si>
  <si>
    <t>France</t>
  </si>
  <si>
    <t>Germany</t>
  </si>
  <si>
    <t>South Korea</t>
  </si>
  <si>
    <t>Mexico</t>
  </si>
  <si>
    <t>Romania</t>
  </si>
  <si>
    <t>Nigeria</t>
  </si>
  <si>
    <t>Distribution</t>
  </si>
  <si>
    <t>California</t>
  </si>
  <si>
    <t>Colorado</t>
  </si>
  <si>
    <t>Georgia</t>
  </si>
  <si>
    <t>Michigan</t>
  </si>
  <si>
    <t>Minnestora</t>
  </si>
  <si>
    <t>Nebraska</t>
  </si>
  <si>
    <t>Tennesse</t>
  </si>
  <si>
    <t>Texas</t>
  </si>
  <si>
    <t>Canada</t>
  </si>
  <si>
    <t>Russia</t>
  </si>
  <si>
    <t>Singapore</t>
  </si>
  <si>
    <t>South Africa</t>
  </si>
  <si>
    <t>HQ and other Offices</t>
  </si>
  <si>
    <t>Kentucky</t>
  </si>
  <si>
    <t>DC</t>
  </si>
  <si>
    <t>Belgium</t>
  </si>
  <si>
    <t>UAE</t>
  </si>
  <si>
    <t>In millions, except per share amounts</t>
  </si>
  <si>
    <t/>
  </si>
  <si>
    <t>For the years ended December 31,</t>
  </si>
  <si>
    <t>Gross margin</t>
  </si>
  <si>
    <t>Diluted</t>
  </si>
  <si>
    <t>Cash dividends declared per share</t>
  </si>
  <si>
    <t>Net cash provided by operating activities</t>
  </si>
  <si>
    <t>At December 31,</t>
  </si>
  <si>
    <t>Long-term debt (3)</t>
  </si>
  <si>
    <t>Total equity (4)</t>
  </si>
  <si>
    <t>Research, development and engineering expenses</t>
  </si>
  <si>
    <t>Equity, royalty and interest income from investees</t>
  </si>
  <si>
    <t>Earnings per common share attributable to Cummins Inc. (2)</t>
  </si>
  <si>
    <t>Impact of Tax Legislation (1)</t>
  </si>
  <si>
    <t>In millions</t>
  </si>
  <si>
    <t>Sales</t>
  </si>
  <si>
    <t>Non-segment</t>
  </si>
  <si>
    <t>Years ended December 31,</t>
  </si>
  <si>
    <t>In millions (except per share amounts)</t>
  </si>
  <si>
    <t>NET SALES</t>
  </si>
  <si>
    <t>Cost of sales</t>
  </si>
  <si>
    <t>GROSS MARGIN</t>
  </si>
  <si>
    <t>OPERATING EXPENSES AND INCOME</t>
  </si>
  <si>
    <t>Selling, general and administrative expenses</t>
  </si>
  <si>
    <t>Loss contingency charges</t>
  </si>
  <si>
    <t>Impairment of light-duty diesel assets</t>
  </si>
  <si>
    <t>Restructuring actions and other charges</t>
  </si>
  <si>
    <t>Other operating income (expense), net</t>
  </si>
  <si>
    <t>OPERATING INCOME</t>
  </si>
  <si>
    <t>Interest income</t>
  </si>
  <si>
    <t>Other income, net</t>
  </si>
  <si>
    <t>INCOME BEFORE INCOME TAXES</t>
  </si>
  <si>
    <t>Income tax expense</t>
  </si>
  <si>
    <t>CONSOLIDATED NET INCOME</t>
  </si>
  <si>
    <t>NET INCOME ATTRIBUTABLE TO CUMMINS INC .</t>
  </si>
  <si>
    <t>Diluted earnings per common share attributable to Cummins Inc.</t>
  </si>
  <si>
    <t>Less: Net (loss) income attributable to noncontrolling interests</t>
  </si>
  <si>
    <t>Increase in income tax expense</t>
  </si>
  <si>
    <t>Net impact of Tax Legislation</t>
  </si>
  <si>
    <t>Decrease in equity, royalty and other income from investees</t>
  </si>
  <si>
    <t>Increase in income attributable to noncontrolling interests (2)</t>
  </si>
  <si>
    <t>Royalty income, net</t>
  </si>
  <si>
    <t>Gain on sale of assets, net</t>
  </si>
  <si>
    <t>Loss on write off of assets</t>
  </si>
  <si>
    <t>Amortization of intangible assets</t>
  </si>
  <si>
    <t>Rental income</t>
  </si>
  <si>
    <t>Dividend income</t>
  </si>
  <si>
    <t>Gain on sale of equity investee (1)</t>
  </si>
  <si>
    <t>Foreign currency, net</t>
  </si>
  <si>
    <t>Bank charges</t>
  </si>
  <si>
    <t>Change in cash surrender value of corporate owned life insurance</t>
  </si>
  <si>
    <t>Gains on fair value adjustment for consolidated investees (2)</t>
  </si>
  <si>
    <t>External sales (1)</t>
  </si>
  <si>
    <t>Intersegment sales (1)</t>
  </si>
  <si>
    <t>Total sales</t>
  </si>
  <si>
    <t>Depreciation and amortization</t>
  </si>
  <si>
    <t>Loss contingency charges (2)</t>
  </si>
  <si>
    <t>Segment EBIT</t>
  </si>
  <si>
    <t>Segment EBIT as a percentage of total sales</t>
  </si>
  <si>
    <t>Heavy-duty truck</t>
  </si>
  <si>
    <t>Medium-duty truck and bus</t>
  </si>
  <si>
    <t>Light-duty automotive</t>
  </si>
  <si>
    <t>Total on-highway</t>
  </si>
  <si>
    <t>Off-highway</t>
  </si>
  <si>
    <t>Heavy-duty</t>
  </si>
  <si>
    <t>Medium-duty</t>
  </si>
  <si>
    <t>Light-duty</t>
  </si>
  <si>
    <t>Total unit shipments</t>
  </si>
  <si>
    <t>External sales</t>
  </si>
  <si>
    <t>Intersegment sales</t>
  </si>
  <si>
    <t>Segment EBIT (2)</t>
  </si>
  <si>
    <t>North America</t>
  </si>
  <si>
    <t>Asia Pacific</t>
  </si>
  <si>
    <t>Europe</t>
  </si>
  <si>
    <t>Africa and Middle East</t>
  </si>
  <si>
    <t>Latin America</t>
  </si>
  <si>
    <t>Engines</t>
  </si>
  <si>
    <t>Power generation</t>
  </si>
  <si>
    <t>Service</t>
  </si>
  <si>
    <t>Emission solutions</t>
  </si>
  <si>
    <t>Turbo technologies</t>
  </si>
  <si>
    <t>Filtration</t>
  </si>
  <si>
    <t>Electronics and fuel systems</t>
  </si>
  <si>
    <t>Automated transmissions</t>
  </si>
  <si>
    <t>Industrial</t>
  </si>
  <si>
    <t>Generator technologies</t>
  </si>
  <si>
    <t>Total units</t>
  </si>
  <si>
    <t>TOTAL SEGMENT EBIT</t>
  </si>
  <si>
    <t>Non-segment EBIT (1)</t>
  </si>
  <si>
    <t>TOTAL EBIT</t>
  </si>
  <si>
    <t>Less: Interest expense</t>
  </si>
  <si>
    <t>Less: Income tax expense</t>
  </si>
  <si>
    <t>NET INCOME ATTRIBUTABLE TO CUMMINS INC.</t>
  </si>
  <si>
    <t>Reconciliation of Segment EBIT to Net Income Attributable to Cummins Inc.</t>
  </si>
  <si>
    <t>Dollars in millions</t>
  </si>
  <si>
    <t>Working capital (1)</t>
  </si>
  <si>
    <t>Current ratio</t>
  </si>
  <si>
    <t>Accounts and notes receivable, net</t>
  </si>
  <si>
    <t>Inventory turnover</t>
  </si>
  <si>
    <t>Accounts payable (principally trade)</t>
  </si>
  <si>
    <t>Days' payable outstanding</t>
  </si>
  <si>
    <t>Total debt</t>
  </si>
  <si>
    <t>Total debt as a percent of total capital</t>
  </si>
  <si>
    <t>December 31,</t>
  </si>
  <si>
    <t>Net cash used in investing activities</t>
  </si>
  <si>
    <t>Net cash used in financing activities</t>
  </si>
  <si>
    <t>For each quarter ended</t>
  </si>
  <si>
    <t>April 2</t>
  </si>
  <si>
    <t>July 2</t>
  </si>
  <si>
    <t>October 1</t>
  </si>
  <si>
    <t>December 31</t>
  </si>
  <si>
    <t>Average Cost</t>
  </si>
  <si>
    <t>Per Share</t>
  </si>
  <si>
    <t>Total Cost of</t>
  </si>
  <si>
    <t>Repurchases</t>
  </si>
  <si>
    <t>Remaining</t>
  </si>
  <si>
    <t>Authorized</t>
  </si>
  <si>
    <t>Capacity (1)</t>
  </si>
  <si>
    <t>First quarter</t>
  </si>
  <si>
    <t>Second quarter</t>
  </si>
  <si>
    <t>Third quarter</t>
  </si>
  <si>
    <t>Fourth quarter</t>
  </si>
  <si>
    <t>Quarterly Dividends</t>
  </si>
  <si>
    <t>Loans payable</t>
  </si>
  <si>
    <t>U.S. Plans</t>
  </si>
  <si>
    <t>U.K. Plans</t>
  </si>
  <si>
    <t>Foreign currency translation adjustments</t>
  </si>
  <si>
    <t>Unrealized gain (loss) on marketable securities</t>
  </si>
  <si>
    <t>Unrealized gain (loss) on derivatives</t>
  </si>
  <si>
    <t>COMPREHENSIVE INCOME</t>
  </si>
  <si>
    <t>Consolidated Statements of Comprehensive Income</t>
  </si>
  <si>
    <t>In millions, except par value</t>
  </si>
  <si>
    <t>ASSETS</t>
  </si>
  <si>
    <t>Current assets</t>
  </si>
  <si>
    <t>Marketable securities (Note 4)</t>
  </si>
  <si>
    <t>Trade and other</t>
  </si>
  <si>
    <t>Nonconsolidated equity investees</t>
  </si>
  <si>
    <t>Inventories (Note 5)</t>
  </si>
  <si>
    <t>Long-term assets</t>
  </si>
  <si>
    <t>Pension assets (Note 10)</t>
  </si>
  <si>
    <t>Other assets</t>
  </si>
  <si>
    <t>LIABILITIES</t>
  </si>
  <si>
    <t>Current liabilities</t>
  </si>
  <si>
    <t>Loans payable (Note 9)</t>
  </si>
  <si>
    <t>Commercial paper (Note 9)</t>
  </si>
  <si>
    <t>Current portion of deferred revenue</t>
  </si>
  <si>
    <t>Other accrued expenses</t>
  </si>
  <si>
    <t>Long-term liabilities</t>
  </si>
  <si>
    <t>Long-term debt (Note 9)</t>
  </si>
  <si>
    <t>Pensions (Note 10)</t>
  </si>
  <si>
    <t>Commitments and contingencies (Note 12)</t>
  </si>
  <si>
    <t>EQUITY</t>
  </si>
  <si>
    <t>Retained earnings</t>
  </si>
  <si>
    <t>Treasury stock, at cost, 56.7 and 54.2 shares</t>
  </si>
  <si>
    <t>Noncontrolling interests (Note 16)</t>
  </si>
  <si>
    <t>CASH FLOWS FROM OPERATING ACTIVITIES</t>
  </si>
  <si>
    <t>Consolidated net income</t>
  </si>
  <si>
    <t>Impact of tax legislation, net (Note 2)</t>
  </si>
  <si>
    <t>Deferred income taxes (Note 2)</t>
  </si>
  <si>
    <t>Proceeds from corporate owned life insurance</t>
  </si>
  <si>
    <t>Translation and hedging activities</t>
  </si>
  <si>
    <t>Accounts and notes receivable</t>
  </si>
  <si>
    <t>Other current assets</t>
  </si>
  <si>
    <t>Accounts payable</t>
  </si>
  <si>
    <t>Accrued expenses</t>
  </si>
  <si>
    <t>CASH FLOWS FROM INVESTING ACTIVITIES</t>
  </si>
  <si>
    <t>Investments in internal use software</t>
  </si>
  <si>
    <t>Investments in and advances to equity investees</t>
  </si>
  <si>
    <t>CASH FLOWS FROM FINANCING ACTIVITIES</t>
  </si>
  <si>
    <t>Proceeds from borrowings</t>
  </si>
  <si>
    <t>Net borrowings of commercial paper</t>
  </si>
  <si>
    <t>Distributions to noncontrolling interests</t>
  </si>
  <si>
    <t>Repurchases of common stock (Note 13)</t>
  </si>
  <si>
    <t>CASH AND CASH EQUIVALENTS AT END OF PERIOD</t>
  </si>
  <si>
    <t>BALANCE AT DECEMBER 31, 2014</t>
  </si>
  <si>
    <t>Net income</t>
  </si>
  <si>
    <t>Issuance of common stock</t>
  </si>
  <si>
    <t>Cash dividends on common stock (Note 13)</t>
  </si>
  <si>
    <t>Stock based awards</t>
  </si>
  <si>
    <t>Other shareholder transactions</t>
  </si>
  <si>
    <t>BALANCE AT DECEMBER 31, 2015</t>
  </si>
  <si>
    <t>BALANCE AT DECEMBER 31, 2016</t>
  </si>
  <si>
    <t>Impact of tax legislation (Note 2)</t>
  </si>
  <si>
    <t>Acquisition of business (Note 18)</t>
  </si>
  <si>
    <t>BALANCE AT DECEMBER 31, 2017</t>
  </si>
  <si>
    <t>Employee benefits trust activity (Note 13)</t>
  </si>
  <si>
    <t>Acquisition of noncontrolling interests (Note 18)</t>
  </si>
  <si>
    <t>Common Stock</t>
  </si>
  <si>
    <t>Additional Paid-in Capital</t>
  </si>
  <si>
    <t>Retained Earnings</t>
  </si>
  <si>
    <t>Treasury Stock</t>
  </si>
  <si>
    <t>Common Stock Held in Trust</t>
  </si>
  <si>
    <t>Accumulated Other Comprehensive Loss</t>
  </si>
  <si>
    <t>Noncontrolling Interests</t>
  </si>
  <si>
    <t>Total Equity</t>
  </si>
  <si>
    <t>Cash payments for income taxes, net of refunds</t>
  </si>
  <si>
    <t>Cash payments for interest, net of capitalized interest</t>
  </si>
  <si>
    <t>Cash and Cash Equivalents</t>
  </si>
  <si>
    <t>Finished products</t>
  </si>
  <si>
    <t>Work-in-process and raw materials</t>
  </si>
  <si>
    <t>Inventories at FIFO cost</t>
  </si>
  <si>
    <t>Excess of FIFO over LIFO</t>
  </si>
  <si>
    <t>Land and buildings</t>
  </si>
  <si>
    <t>Machinery, equipment and fixtures</t>
  </si>
  <si>
    <t>Construction in process</t>
  </si>
  <si>
    <t>Property, plant and equipment, gross</t>
  </si>
  <si>
    <t>Less: Accumulated depreciation</t>
  </si>
  <si>
    <t>Goodwill and Other Intangible Assets</t>
  </si>
  <si>
    <t>Balance at December 31, 2015</t>
  </si>
  <si>
    <t>Acquisitions</t>
  </si>
  <si>
    <t>Translation and other</t>
  </si>
  <si>
    <t>Balance at December 31, 2016</t>
  </si>
  <si>
    <t>Balance at December 31, 2017</t>
  </si>
  <si>
    <t xml:space="preserve">     Goodwill not yet allocated to segments</t>
  </si>
  <si>
    <t>Software</t>
  </si>
  <si>
    <t>Less: Accumulated amortization</t>
  </si>
  <si>
    <t>Software, net</t>
  </si>
  <si>
    <t>Senior notes, 3.65%, due 2023</t>
  </si>
  <si>
    <t>Debentures, 6.75%, due 2027</t>
  </si>
  <si>
    <t>Debentures, 7.125%, due 2028</t>
  </si>
  <si>
    <t>Senior notes, 4.875%, due 2043</t>
  </si>
  <si>
    <t>Other debt</t>
  </si>
  <si>
    <t>Unamortized discount</t>
  </si>
  <si>
    <t>Fair value adjustments due to hedge on indebtedness</t>
  </si>
  <si>
    <t>Capital leases</t>
  </si>
  <si>
    <t>Total long-term debt</t>
  </si>
  <si>
    <t>Total cash, cash equivalents and marketable securities</t>
  </si>
  <si>
    <t>Property, plant and equipment, net (Note 6)</t>
  </si>
  <si>
    <t>Change in pension and other postretirement defined benefit plans</t>
  </si>
  <si>
    <t>Other comprehensive income (loss), net of tax (Note 14)</t>
  </si>
  <si>
    <t>Less: Comprehensive income attributable to noncontrolling interests</t>
  </si>
  <si>
    <t>Total other comprehensive income (loss), net of tax</t>
  </si>
  <si>
    <t>Proceeds from disposals of property, plant and equipment</t>
  </si>
  <si>
    <t>Dividend payments on common stock (Note 13)</t>
  </si>
  <si>
    <t>Cash and cash equivalents at beginning of year</t>
  </si>
  <si>
    <t>Net increase (decrease) in cash and cash equivalents</t>
  </si>
  <si>
    <t>Proceeds from sale of equity investees (Note 3)</t>
  </si>
  <si>
    <t>Cash flows from derivatives not designated as hedges</t>
  </si>
  <si>
    <t>Acquisitions of businesses, net of cash acquired (Note 18)</t>
  </si>
  <si>
    <t>Pension contributions in excess of expense (Note 10)</t>
  </si>
  <si>
    <t>Equity in income of investees, net of dividends (Note 3)</t>
  </si>
  <si>
    <t>Other post retirement benefits payments in excess of expense (Note 10)</t>
  </si>
  <si>
    <t>Adjustments to reconcile consolidated net income to net cash provided by operating activities</t>
  </si>
  <si>
    <t>Changes in current assets and liabilities, net of acquisitions</t>
  </si>
  <si>
    <t>Restructuring charges and other actions, net of cash payments (Note 20)</t>
  </si>
  <si>
    <t>Impairment of light-duty diesel assets (Note 19)</t>
  </si>
  <si>
    <t>Loss contingency charges, net of payments (Note 12)</t>
  </si>
  <si>
    <t>Stock-based compensation expense (Note 15)</t>
  </si>
  <si>
    <t>Payments on borrowings and capital lease obligations</t>
  </si>
  <si>
    <t>Net borrowings (payments) under short-term credit agreements</t>
  </si>
  <si>
    <r>
      <t xml:space="preserve">EFFECT OF EXCHANGE RATE CHANGES ON CASH </t>
    </r>
    <r>
      <rPr>
        <b/>
        <sz val="11"/>
        <rFont val="Calibri"/>
        <family val="2"/>
        <scheme val="minor"/>
      </rPr>
      <t>AND CASH EQUIVALENTS</t>
    </r>
  </si>
  <si>
    <t>Gains on fair value adjustment for consolidated investees (Note 18)</t>
  </si>
  <si>
    <t>New Debt</t>
  </si>
  <si>
    <t>Growth Profitability and Financial Ratios for Cummins Inc</t>
  </si>
  <si>
    <t>Financials</t>
  </si>
  <si>
    <t>2008-12</t>
  </si>
  <si>
    <t>2009-12</t>
  </si>
  <si>
    <t>2010-12</t>
  </si>
  <si>
    <t>2011-12</t>
  </si>
  <si>
    <t>2012-12</t>
  </si>
  <si>
    <t>2013-12</t>
  </si>
  <si>
    <t>2014-12</t>
  </si>
  <si>
    <t>2015-12</t>
  </si>
  <si>
    <t>2016-12</t>
  </si>
  <si>
    <t>2017-12</t>
  </si>
  <si>
    <t>TTM</t>
  </si>
  <si>
    <t>Revenue USD Mil</t>
  </si>
  <si>
    <t>Gross Margin %</t>
  </si>
  <si>
    <t>Operating Income USD Mil</t>
  </si>
  <si>
    <t>Operating Margin %</t>
  </si>
  <si>
    <t>Net Income USD Mil</t>
  </si>
  <si>
    <t>Earnings Per Share USD</t>
  </si>
  <si>
    <t>Dividends USD</t>
  </si>
  <si>
    <t>Payout Ratio % *</t>
  </si>
  <si>
    <t>Shares Mil</t>
  </si>
  <si>
    <t>Book Value Per Share * USD</t>
  </si>
  <si>
    <t>Operating Cash Flow USD Mil</t>
  </si>
  <si>
    <t>Cap Spending USD Mil</t>
  </si>
  <si>
    <t>Free Cash Flow USD Mil</t>
  </si>
  <si>
    <t>Free Cash Flow Per Share * USD</t>
  </si>
  <si>
    <t>Working Capital USD Mil</t>
  </si>
  <si>
    <t>Key Ratios -&gt; Profitability</t>
  </si>
  <si>
    <t>Margins % of Sales</t>
  </si>
  <si>
    <t>COGS</t>
  </si>
  <si>
    <t>Gross Margin</t>
  </si>
  <si>
    <t>SG&amp;A</t>
  </si>
  <si>
    <t>R&amp;D</t>
  </si>
  <si>
    <t>Other</t>
  </si>
  <si>
    <t>Operating Margin</t>
  </si>
  <si>
    <t>Net Int Inc &amp; Other</t>
  </si>
  <si>
    <t>EBT Margin</t>
  </si>
  <si>
    <t>Profitability</t>
  </si>
  <si>
    <t>Tax Rate %</t>
  </si>
  <si>
    <t>Net Margin %</t>
  </si>
  <si>
    <t>Asset Turnover (Average)</t>
  </si>
  <si>
    <t>Return on Assets %</t>
  </si>
  <si>
    <t>Financial Leverage (Average)</t>
  </si>
  <si>
    <t>Return on Equity %</t>
  </si>
  <si>
    <t>Return on Invested Capital %</t>
  </si>
  <si>
    <t>Key Ratios -&gt; Growth</t>
  </si>
  <si>
    <t>Latest Qtr</t>
  </si>
  <si>
    <t>Revenue %</t>
  </si>
  <si>
    <t>Year over Year</t>
  </si>
  <si>
    <t>3-Year Average</t>
  </si>
  <si>
    <t>5-Year Average</t>
  </si>
  <si>
    <t>10-Year Average</t>
  </si>
  <si>
    <t>Operating Income %</t>
  </si>
  <si>
    <t>Net Income %</t>
  </si>
  <si>
    <t>EPS %</t>
  </si>
  <si>
    <t>Key Ratios -&gt; Cash Flow</t>
  </si>
  <si>
    <t>Cash Flow Ratios</t>
  </si>
  <si>
    <t>Operating Cash Flow Growth % YOY</t>
  </si>
  <si>
    <t>Free Cash Flow Growth % YOY</t>
  </si>
  <si>
    <t>Cap Ex as a % of Sales</t>
  </si>
  <si>
    <t>Free Cash Flow/Sales %</t>
  </si>
  <si>
    <t>Free Cash Flow/Net Income</t>
  </si>
  <si>
    <t>Key Ratios -&gt; Financial Health</t>
  </si>
  <si>
    <t>Balance Sheet Items (in %)</t>
  </si>
  <si>
    <t>Cash &amp; Short-Term Investments</t>
  </si>
  <si>
    <t>Accounts Receivable</t>
  </si>
  <si>
    <t>Inventory</t>
  </si>
  <si>
    <t>Other Current Assets</t>
  </si>
  <si>
    <t>Total Current Assets</t>
  </si>
  <si>
    <t>Net PP&amp;E</t>
  </si>
  <si>
    <t>Intangibles</t>
  </si>
  <si>
    <t>Other Long-Term Assets</t>
  </si>
  <si>
    <t>Accounts Payable</t>
  </si>
  <si>
    <t>Short-Term Debt</t>
  </si>
  <si>
    <t>Taxes Payable</t>
  </si>
  <si>
    <t>Accrued Liabilities</t>
  </si>
  <si>
    <t>Other Short-Term Liabilities</t>
  </si>
  <si>
    <t>Total Current Liabilities</t>
  </si>
  <si>
    <t>Long-Term Debt</t>
  </si>
  <si>
    <t>Other Long-Term Liabilities</t>
  </si>
  <si>
    <t>Total Liabilities</t>
  </si>
  <si>
    <t>Total Stockholders' Equity</t>
  </si>
  <si>
    <t>Total Liabilities &amp; Equity</t>
  </si>
  <si>
    <t>Liquidity/Financial Health</t>
  </si>
  <si>
    <t>Financial Leverage</t>
  </si>
  <si>
    <t>Debt/Equity</t>
  </si>
  <si>
    <t>Key Ratios -&gt; Efficiency Ratios</t>
  </si>
  <si>
    <t>Efficiency</t>
  </si>
  <si>
    <t>Days Inventory</t>
  </si>
  <si>
    <t>Payables Period</t>
  </si>
  <si>
    <t>Cash Conversion Cycle</t>
  </si>
  <si>
    <t>Receivables Turnover</t>
  </si>
  <si>
    <t>Inventory Turnover</t>
  </si>
  <si>
    <t>Fixed Assets Turnover</t>
  </si>
  <si>
    <t>Asset Turnover</t>
  </si>
  <si>
    <t>Less: Current maturities of long-term debt</t>
  </si>
  <si>
    <t>Current maturities of long-term debt (Note 9)</t>
  </si>
  <si>
    <t>Postretirement benefits other than pensions (Note 10)</t>
  </si>
  <si>
    <t>Other liabilities and deferred revenue (Note 11)</t>
  </si>
  <si>
    <t>Accumulated other comprehensive loss (Note 14)</t>
  </si>
  <si>
    <t>Current portion of accrued product warranty (Note 8)</t>
  </si>
  <si>
    <t>Accrued compensation, benefits and retirement costs</t>
  </si>
  <si>
    <t>Investments and advances related to equity method investees (Note 3)</t>
  </si>
  <si>
    <t>Common stock, $2.50 par value, 500 shares authorized, 222.4 and 222.4 shares issued</t>
  </si>
  <si>
    <t>Acquisitions of noncontrolling interests (Note 18)</t>
  </si>
  <si>
    <t>TOTAL LIABILITIES AND EQUITY</t>
  </si>
  <si>
    <r>
      <t xml:space="preserve">Goodwill </t>
    </r>
    <r>
      <rPr>
        <i/>
        <sz val="11"/>
        <rFont val="Calibri"/>
        <family val="2"/>
        <scheme val="minor"/>
      </rPr>
      <t>and Other Intangible Assets</t>
    </r>
    <r>
      <rPr>
        <sz val="11"/>
        <color indexed="0"/>
        <rFont val="Calibri"/>
        <family val="2"/>
        <scheme val="minor"/>
      </rPr>
      <t xml:space="preserve"> (Note 7)</t>
    </r>
  </si>
  <si>
    <t>Trademarks, patents, customer relationships and other</t>
  </si>
  <si>
    <t>Trademarks, patents, customer relationships and other, net</t>
  </si>
  <si>
    <t>Total Other intangible assets, net (Note 7)</t>
  </si>
  <si>
    <t>Debt mutual funds</t>
  </si>
  <si>
    <t>Bank debentures</t>
  </si>
  <si>
    <t>Equity mutual funds</t>
  </si>
  <si>
    <t>Certificates of deposit</t>
  </si>
  <si>
    <t>Government debt securities</t>
  </si>
  <si>
    <t>Beijing Foton Cummins Engine Co., Ltd.</t>
  </si>
  <si>
    <t>Komatsu alliances</t>
  </si>
  <si>
    <t>Dongfeng Cummins Engine Company, Ltd.</t>
  </si>
  <si>
    <t>Cummins-Scania XPI Manufacturing, LLC</t>
  </si>
  <si>
    <t>Chongqing Cummins Engine Company, Ltd.</t>
  </si>
  <si>
    <t>Tata Cummins, Ltd.</t>
  </si>
  <si>
    <t>Qualified and Non-Qualified Pension Plans</t>
  </si>
  <si>
    <t>Change in benefit obligation</t>
  </si>
  <si>
    <t>Benefit obligation at the beginning of the year</t>
  </si>
  <si>
    <t>Service cost</t>
  </si>
  <si>
    <t>Interest cost</t>
  </si>
  <si>
    <t>Actuarial loss</t>
  </si>
  <si>
    <t>Benefits paid from fund</t>
  </si>
  <si>
    <t>Benefits paid directly by employer</t>
  </si>
  <si>
    <t>Plan amendments</t>
  </si>
  <si>
    <t>Exchange rate changes</t>
  </si>
  <si>
    <t>Benefit obligation at end of year</t>
  </si>
  <si>
    <t>Change in plan assets</t>
  </si>
  <si>
    <t>Fair value of plan assets at beginning of year</t>
  </si>
  <si>
    <t>Actual return on plan assets</t>
  </si>
  <si>
    <t>Employer contributions</t>
  </si>
  <si>
    <t>Benefits paid</t>
  </si>
  <si>
    <t>Fair value of plan assets at end of year</t>
  </si>
  <si>
    <t>Amounts recognized in consolidated balance sheets</t>
  </si>
  <si>
    <t>Pension assets - long-term</t>
  </si>
  <si>
    <t>Pensions - long-term liabilities</t>
  </si>
  <si>
    <t>Net amount recognized</t>
  </si>
  <si>
    <t>Net actuarial loss</t>
  </si>
  <si>
    <t>Funded status (including underfunded and nonfunded plans) at end of year</t>
  </si>
  <si>
    <t>Amounts recognized in accumulated other comprehensive loss</t>
  </si>
  <si>
    <t>Accrued compensation, benefits and retirement costs - current liabilities</t>
  </si>
  <si>
    <t>Balance, beginning of year</t>
  </si>
  <si>
    <t>Provision for warranties issued</t>
  </si>
  <si>
    <t>Payments</t>
  </si>
  <si>
    <t>Foreign currency translation</t>
  </si>
  <si>
    <t>Balance, end of year</t>
  </si>
  <si>
    <t>Balance Sheet Location</t>
  </si>
  <si>
    <t>Current portion</t>
  </si>
  <si>
    <t>Long-term portion</t>
  </si>
  <si>
    <t>Other liabilities and deferred revenue</t>
  </si>
  <si>
    <t>Long-term portion of warranty liability</t>
  </si>
  <si>
    <t>Deferred revenue related to extended coverage programs</t>
  </si>
  <si>
    <t>Amortization of deferred revenue on extended warranty contracts</t>
  </si>
  <si>
    <t>Deferred revenue on extended warranty contracts sold</t>
  </si>
  <si>
    <t>Changes in estimates for pre-existing warranties</t>
  </si>
  <si>
    <t>Income Statement Classification</t>
  </si>
  <si>
    <t>Gain/(Loss) on Swaps</t>
  </si>
  <si>
    <t>Gain/(Loss) on Borrowings</t>
  </si>
  <si>
    <t>Interest expense (1)</t>
  </si>
  <si>
    <t>Fair values of total debt (1)</t>
  </si>
  <si>
    <t>Carrying values of total debt</t>
  </si>
  <si>
    <t>Debentures, 5.65%, due 2098 (effective interest rate 7.48%)</t>
  </si>
  <si>
    <t xml:space="preserve">Weighted-average interest rate </t>
  </si>
  <si>
    <t>Principal payments</t>
  </si>
  <si>
    <t>Credit facilities related to consolidated joint ventures</t>
  </si>
  <si>
    <t>All debt</t>
  </si>
  <si>
    <t>Current maturities of long-term debt</t>
  </si>
  <si>
    <t>Commercial paper</t>
  </si>
  <si>
    <t>Principal Payment</t>
  </si>
  <si>
    <t>Senior notes</t>
  </si>
  <si>
    <t>Debentures</t>
  </si>
  <si>
    <t>Long term debt</t>
  </si>
  <si>
    <t>Actual Total Interest</t>
  </si>
  <si>
    <t>Note 9:</t>
  </si>
  <si>
    <t>Less: Capitalized</t>
  </si>
  <si>
    <t>Prior service credit</t>
  </si>
  <si>
    <t>http://investor.cummins.com/phoenix.zhtml0c=112916&amp;p=irol-estimates</t>
  </si>
  <si>
    <t>Days0 sales in receivables</t>
  </si>
  <si>
    <t>Cummins Inc. shareholders0 equity (Note 13)</t>
  </si>
  <si>
    <t>Investments in marketable securities0acquisitions (Note 4)</t>
  </si>
  <si>
    <t>Investments in marketable securities0liquidations (Note 4)</t>
  </si>
  <si>
    <t>Total Cummins Inc. Shareholders0 Equity</t>
  </si>
  <si>
    <t>Prior service cost (Credit)</t>
  </si>
  <si>
    <t>Total accumulated benefit obligation</t>
  </si>
  <si>
    <t>Accumulated benefit obligation</t>
  </si>
  <si>
    <t>Projected benefit obligation</t>
  </si>
  <si>
    <t>Obligations, Assets and Funded Status</t>
  </si>
  <si>
    <t>Expected return on plan assets</t>
  </si>
  <si>
    <t>Amortization of prior service cost</t>
  </si>
  <si>
    <t>Recognized net actuarial loss</t>
  </si>
  <si>
    <t>Net periodic pension cost</t>
  </si>
  <si>
    <t>Components of Net Periodic Pension Cost</t>
  </si>
  <si>
    <t>Amortization of prior service credit</t>
  </si>
  <si>
    <t>Incurred actuarial (gain) loss</t>
  </si>
  <si>
    <t>Foreign exchange translation adjustments</t>
  </si>
  <si>
    <t>Total recognized in net periodic pension cost and other comprehensive income</t>
  </si>
  <si>
    <t>Total recognized in other comprehensive income</t>
  </si>
  <si>
    <t>Discount rate</t>
  </si>
  <si>
    <t>Compensation increase rate</t>
  </si>
  <si>
    <r>
      <t xml:space="preserve">Components of Net Periodic Pension Cost </t>
    </r>
    <r>
      <rPr>
        <sz val="11"/>
        <color rgb="FF000000"/>
        <rFont val="Calibri"/>
        <family val="2"/>
      </rPr>
      <t>Other changes in benefit obligations and plan assets recognized in other comprehensive income</t>
    </r>
  </si>
  <si>
    <t>Plans with projected benefit obligation in excess of plan assets</t>
  </si>
  <si>
    <t>Plans with accumulated benefit obligation in excess of plan assets</t>
  </si>
  <si>
    <t>Pension benefit obligation</t>
  </si>
  <si>
    <t>Periodic Pension Cost</t>
  </si>
  <si>
    <t>Asset Class</t>
  </si>
  <si>
    <t>U.S. equities</t>
  </si>
  <si>
    <t>Non-U.S. equities</t>
  </si>
  <si>
    <t>Global equities</t>
  </si>
  <si>
    <t>Total equities</t>
  </si>
  <si>
    <t>Real estate</t>
  </si>
  <si>
    <t>Private equity/venture capital</t>
  </si>
  <si>
    <t>Opportunistic credit</t>
  </si>
  <si>
    <t>Fixed income</t>
  </si>
  <si>
    <t>Target</t>
  </si>
  <si>
    <t>Real estate/private markets</t>
  </si>
  <si>
    <t>Re-insurance</t>
  </si>
  <si>
    <t>Corporate credit instruments</t>
  </si>
  <si>
    <t>Target plan composition</t>
  </si>
  <si>
    <t>+</t>
  </si>
  <si>
    <t>-</t>
  </si>
  <si>
    <t xml:space="preserve">Range: </t>
  </si>
  <si>
    <t>Expected benefit payments</t>
  </si>
  <si>
    <t>2023 - 2027</t>
  </si>
  <si>
    <t>Future Payments</t>
  </si>
  <si>
    <t>Components of Net Periodic Other Postretirement Benefits Cost</t>
  </si>
  <si>
    <t>Net periodic other postretirement benefit cost</t>
  </si>
  <si>
    <t>Recognized in other comprehensive income:</t>
  </si>
  <si>
    <t>Total recognized in net periodic other postretirement benefit cost and othercomprehensive income</t>
  </si>
  <si>
    <t>Obligations and Funded Status</t>
  </si>
  <si>
    <t>Plan participants' contributions</t>
  </si>
  <si>
    <t>Actuarial (gain) loss</t>
  </si>
  <si>
    <t>Funded status at end of year</t>
  </si>
  <si>
    <r>
      <t xml:space="preserve">Benefit obligation at the beginning of </t>
    </r>
    <r>
      <rPr>
        <sz val="11"/>
        <rFont val="Calibri"/>
        <family val="2"/>
      </rPr>
      <t>the year</t>
    </r>
  </si>
  <si>
    <t>Postretirement benefits other than pensions-long-term liabilities</t>
  </si>
  <si>
    <t>Amounts recognized in accumulated other comprehensive loss:</t>
  </si>
  <si>
    <t>U.S. income</t>
  </si>
  <si>
    <t>Foreign income</t>
  </si>
  <si>
    <t>Income before income taxes</t>
  </si>
  <si>
    <t>Current</t>
  </si>
  <si>
    <t>U.S. federal and state</t>
  </si>
  <si>
    <t>Foreign</t>
  </si>
  <si>
    <t>Impact of tax legislation</t>
  </si>
  <si>
    <t>Deferred</t>
  </si>
  <si>
    <t>Statutory U.S. federal income tax rate</t>
  </si>
  <si>
    <t>State income tax, net of federal effect</t>
  </si>
  <si>
    <t>Research tax credits</t>
  </si>
  <si>
    <t>Effective tax rate</t>
  </si>
  <si>
    <t>reconciliation to effective tax rate</t>
  </si>
  <si>
    <t>Differences in rates and taxability of foreign subsidiaries and joint ventures</t>
  </si>
  <si>
    <t>Net Reconciliation</t>
  </si>
  <si>
    <t>U.S. state carryforward benefits</t>
  </si>
  <si>
    <t>Foreign carryforward benefits</t>
  </si>
  <si>
    <t>Employee benefit plans</t>
  </si>
  <si>
    <t>Warranty expenses</t>
  </si>
  <si>
    <t>Gross deferred tax assets</t>
  </si>
  <si>
    <t>Valuation allowance</t>
  </si>
  <si>
    <t>Total deferred tax assets</t>
  </si>
  <si>
    <t>Deferred tax liabilities</t>
  </si>
  <si>
    <t>Property, plant and equipment</t>
  </si>
  <si>
    <t>Net deferred tax (liabilities) assets</t>
  </si>
  <si>
    <t>Withholding</t>
  </si>
  <si>
    <t>Prepaid and other current assets</t>
  </si>
  <si>
    <t>Refundable income taxes</t>
  </si>
  <si>
    <t>Deferred income tax assets</t>
  </si>
  <si>
    <t>Long-term refundable income taxes</t>
  </si>
  <si>
    <t>Income tax payable</t>
  </si>
  <si>
    <t>Deferred income tax liabilities</t>
  </si>
  <si>
    <t>Balance at beginning of year</t>
  </si>
  <si>
    <t>Additions to current year tax positions</t>
  </si>
  <si>
    <t>Additions to prior years' tax positions</t>
  </si>
  <si>
    <t>Reductions to prior years' tax positions</t>
  </si>
  <si>
    <t>Balance at end of year</t>
  </si>
  <si>
    <t>Unremitted income of foreign subsidiaries and joint ventures</t>
  </si>
  <si>
    <t>Balance Sheet</t>
  </si>
  <si>
    <t>Reductions for tax positions due to settlements with taxing authorities</t>
  </si>
  <si>
    <t>Deferred income tax assets, Long-term refundable income taxes</t>
  </si>
  <si>
    <t>Income tax payable, defferred income tax liabilities</t>
  </si>
  <si>
    <t>Equity</t>
  </si>
  <si>
    <t>Equity, royalty, and interest income from investees net of taxes</t>
  </si>
  <si>
    <t>Royalty and interest income</t>
  </si>
  <si>
    <t>Balance Sheet - Long Term Assets</t>
  </si>
  <si>
    <t>Net sales</t>
  </si>
  <si>
    <t>Non-current assets</t>
  </si>
  <si>
    <t>Non-current liabilities</t>
  </si>
  <si>
    <t>Net assets</t>
  </si>
  <si>
    <t>Cummins share of net assets</t>
  </si>
  <si>
    <t>Total equity, royalty and interest from investees</t>
  </si>
  <si>
    <t>Summary</t>
  </si>
  <si>
    <t>Net Current</t>
  </si>
  <si>
    <t>Net non-current</t>
  </si>
  <si>
    <t>Warranty</t>
  </si>
  <si>
    <t>Deferred revenue</t>
  </si>
  <si>
    <t>Accrued warranty</t>
  </si>
  <si>
    <t>Deferred income taxes</t>
  </si>
  <si>
    <t>Income tax payable (1)</t>
  </si>
  <si>
    <t>Accrued compensation</t>
  </si>
  <si>
    <t>Other long-term liabilities</t>
  </si>
  <si>
    <t>Issuance of shares</t>
  </si>
  <si>
    <t>Employee benefits trust activity</t>
  </si>
  <si>
    <t>Acquisition of shares</t>
  </si>
  <si>
    <t>Cash dividends on common stock</t>
  </si>
  <si>
    <t>BALANCE AT DECEMBER 31, 2013</t>
  </si>
  <si>
    <t>Changes to Equity</t>
  </si>
  <si>
    <t>SH Equity</t>
  </si>
  <si>
    <t>NCI</t>
  </si>
  <si>
    <t>Mid-range</t>
  </si>
  <si>
    <t>High-horsepower</t>
  </si>
  <si>
    <t>Stationary power</t>
  </si>
  <si>
    <t>Non-Segment</t>
  </si>
  <si>
    <t>Non-Segment EBIT</t>
  </si>
  <si>
    <t>Adjustments</t>
  </si>
  <si>
    <t>Less: Net (loss) income attributable to noncontrolling interest</t>
  </si>
  <si>
    <t>CBH Reconciliation</t>
  </si>
  <si>
    <t>Total Ebit</t>
  </si>
  <si>
    <t>SGA+COS</t>
  </si>
  <si>
    <t>Actual</t>
  </si>
  <si>
    <t>Delta</t>
  </si>
  <si>
    <t>US Tax Rate</t>
  </si>
  <si>
    <t>Foreign Tax Rate</t>
  </si>
  <si>
    <t>Avg:</t>
  </si>
  <si>
    <t>US Sales</t>
  </si>
  <si>
    <t>Non-US Sales</t>
  </si>
  <si>
    <t>Avg</t>
  </si>
  <si>
    <t>Alt Avg</t>
  </si>
  <si>
    <t>Growth</t>
  </si>
  <si>
    <t>Entity Acquired (Dollars in millions)</t>
  </si>
  <si>
    <t>Date of Acquisition</t>
  </si>
  <si>
    <t>Additional Percent Interest Acquired</t>
  </si>
  <si>
    <t>Payments to Former Owners</t>
  </si>
  <si>
    <t>Acquisition Related Debt Retirements</t>
  </si>
  <si>
    <t>Total Purchase Consideration</t>
  </si>
  <si>
    <t>Goodwill Acquired</t>
  </si>
  <si>
    <t>Net Sales Previous Fiscal Year Ended</t>
  </si>
  <si>
    <t>Brammo Inc.</t>
  </si>
  <si>
    <t>COMB</t>
  </si>
  <si>
    <t>Wuxi Cummins Turbo Technologies Co. Ltd</t>
  </si>
  <si>
    <t>Cummins Pacific LLC</t>
  </si>
  <si>
    <t>Cummins Northeast LLC</t>
  </si>
  <si>
    <t>Cummins Crosspoint LLC</t>
  </si>
  <si>
    <t>Cummins Atlantic LLC</t>
  </si>
  <si>
    <t>Cummins Central Power LLC</t>
  </si>
  <si>
    <t>Eaton Cummins Automated Transmission Technologies</t>
  </si>
  <si>
    <t>Intangibles Recognized</t>
  </si>
  <si>
    <t>Gain Recognized</t>
  </si>
  <si>
    <t>Type of Acquisition</t>
  </si>
  <si>
    <t>Note 5</t>
  </si>
  <si>
    <t>Note</t>
  </si>
  <si>
    <t>Note 4</t>
  </si>
  <si>
    <t>Combinations</t>
  </si>
  <si>
    <t>Equity (Parent payments only)</t>
  </si>
  <si>
    <t>Results of Combinations</t>
  </si>
  <si>
    <t>Cummins Bridgeway LLC</t>
  </si>
  <si>
    <t>Cummins NPower LLC</t>
  </si>
  <si>
    <t>Cummins Power South LLC</t>
  </si>
  <si>
    <t>Cummins Eastern Canada LP</t>
  </si>
  <si>
    <t>Cummins Power Systems LLC</t>
  </si>
  <si>
    <t>Cummins Mid-South LLC (Mid-South)</t>
  </si>
  <si>
    <t>Cummins Western Canada LP</t>
  </si>
  <si>
    <t>Cummins Rocky Mountain LLC (Rocky Mountain)</t>
  </si>
  <si>
    <t>Cummins Northwest LLC</t>
  </si>
  <si>
    <t>Cummins Northwest LLC (5)</t>
  </si>
  <si>
    <t>Cummins Southern Plains LLC (Southern Plains)</t>
  </si>
  <si>
    <t>Adj Sales incr</t>
  </si>
  <si>
    <t>Fixed assets</t>
  </si>
  <si>
    <t>Intangible assets</t>
  </si>
  <si>
    <t xml:space="preserve">      Customer relationships</t>
  </si>
  <si>
    <t xml:space="preserve">      Technology</t>
  </si>
  <si>
    <t>Goodwill</t>
  </si>
  <si>
    <t xml:space="preserve">      Total business valuation</t>
  </si>
  <si>
    <t>Less: Noncontrolling interest</t>
  </si>
  <si>
    <t>Total purchase consideration</t>
  </si>
  <si>
    <t>Eaton Cummins Automated Transmission Technologies - included in Components segment</t>
  </si>
  <si>
    <t>Cash Used</t>
  </si>
  <si>
    <t>Cash Acquired</t>
  </si>
  <si>
    <t>Accounts receivable</t>
  </si>
  <si>
    <t>Other long-term liability</t>
  </si>
  <si>
    <t>Total business valuation</t>
  </si>
  <si>
    <t>Fair value of pre-existing interest</t>
  </si>
  <si>
    <t>Southern Plains</t>
  </si>
  <si>
    <t>Mid-South</t>
  </si>
  <si>
    <t>Rocky Mountain</t>
  </si>
  <si>
    <t>Tax impact to core business, above provision</t>
  </si>
  <si>
    <t>Attributable to Segments</t>
  </si>
  <si>
    <t>Debt Discount and Deferred Costs</t>
  </si>
  <si>
    <t>Deferred tax assets</t>
  </si>
  <si>
    <t>Reductions for tax positions relating to lapse of statute of limitations</t>
  </si>
  <si>
    <t>Core</t>
  </si>
  <si>
    <t>Equity in income of investees</t>
  </si>
  <si>
    <t>Less: Dividends Received from Unconsolidated Equity Investees</t>
  </si>
  <si>
    <t>All other manufacturers</t>
  </si>
  <si>
    <t>Segment Roll-up</t>
  </si>
  <si>
    <t>Core business</t>
  </si>
  <si>
    <t>Baseline</t>
  </si>
  <si>
    <t>Components (1)</t>
  </si>
  <si>
    <t>Intersegment Eliminations (2)</t>
  </si>
  <si>
    <t>Depreciation and amortization (3)</t>
  </si>
  <si>
    <t>Loss contingency charge (5)</t>
  </si>
  <si>
    <t>Investments and advances to equity investees</t>
  </si>
  <si>
    <t>Power Generation</t>
  </si>
  <si>
    <t>Items (1)</t>
  </si>
  <si>
    <t>Other0 Seems to be net of acquisitions</t>
  </si>
  <si>
    <t>Other0</t>
  </si>
  <si>
    <t>EBIT0</t>
  </si>
  <si>
    <t>SGA + CoS0 (Probably good enough for growth projections at least)</t>
  </si>
  <si>
    <t>Changes in other liabilities and deferred revenue000</t>
  </si>
  <si>
    <t>Less: Tax paid0 Expense0</t>
  </si>
  <si>
    <t>Equity, royalty and interest income from investees (4)</t>
  </si>
  <si>
    <t>Capital Expenditures</t>
  </si>
  <si>
    <t>Earnings</t>
  </si>
  <si>
    <t>Income before income taxes (1)</t>
  </si>
  <si>
    <t>Add</t>
  </si>
  <si>
    <t>Fixed charges</t>
  </si>
  <si>
    <t>Amortization of capitalized interest</t>
  </si>
  <si>
    <t>Distributed income of equity investees</t>
  </si>
  <si>
    <t>Less</t>
  </si>
  <si>
    <t>Equity in earnings of investees</t>
  </si>
  <si>
    <t>Capitalized interest</t>
  </si>
  <si>
    <t>Earnings before fixed charges</t>
  </si>
  <si>
    <t>Interest expense (2)</t>
  </si>
  <si>
    <t>Interest portion of rental expense (3)</t>
  </si>
  <si>
    <t>Total fixed charges</t>
  </si>
  <si>
    <t>Ratio of earnings to fixed charges (4)</t>
  </si>
  <si>
    <t>Amortization of debt discount and deferred costs</t>
  </si>
  <si>
    <t>Noncontrolling interest in pre-tax income of subsidiaries that have not incurred fixed charges</t>
  </si>
  <si>
    <t>Ratio of earnings to fixed charges</t>
  </si>
  <si>
    <t>Cost</t>
  </si>
  <si>
    <t>Total marketable securities</t>
  </si>
  <si>
    <t>Proceeds from sales and maturities of marketable securities</t>
  </si>
  <si>
    <t>Gross realized gains from the sale of available-for-sale securities (1)</t>
  </si>
  <si>
    <t>Available-for-sale</t>
  </si>
  <si>
    <t>Gross unrealized gains/(losses)</t>
  </si>
  <si>
    <t>Estimated fair value</t>
  </si>
  <si>
    <t>Acquired</t>
  </si>
  <si>
    <t>Other Payments</t>
  </si>
  <si>
    <t>Balance at December 31, 2014</t>
  </si>
  <si>
    <t>Shares acquired</t>
  </si>
  <si>
    <t>Shares issued</t>
  </si>
  <si>
    <t>2017 Shares Purchased</t>
  </si>
  <si>
    <t>Other comprehensive income before reclassifications</t>
  </si>
  <si>
    <t>Before tax amount</t>
  </si>
  <si>
    <t>Tax (expense) benefit</t>
  </si>
  <si>
    <t>After tax amount</t>
  </si>
  <si>
    <t>Tax benefit (expense)</t>
  </si>
  <si>
    <t>Balance at December 31, 2012</t>
  </si>
  <si>
    <t>Tax (provision) benefit</t>
  </si>
  <si>
    <t>Balance at December 31, 2013</t>
  </si>
  <si>
    <t>2015 Shares Purchased</t>
  </si>
  <si>
    <t>December 2012, $1 billion repurchase program</t>
  </si>
  <si>
    <t>March 29</t>
  </si>
  <si>
    <t>June 28</t>
  </si>
  <si>
    <t>Subtotal</t>
  </si>
  <si>
    <t>July 2014, $1 billion repurchase program</t>
  </si>
  <si>
    <t>September 27</t>
  </si>
  <si>
    <t>Less: Other0</t>
  </si>
  <si>
    <t>Amounts reclassified from accumulated other comprehensive income (1)(2)</t>
  </si>
  <si>
    <t>Net current period other comprehensive income (loss)</t>
  </si>
  <si>
    <t>Change in pensions and other postretirement defined benefit plans</t>
  </si>
  <si>
    <t>Noncontrolling interests</t>
  </si>
  <si>
    <t>Total attributable to Cummins Inc.</t>
  </si>
  <si>
    <t>Foreign currency translation adjustment</t>
  </si>
  <si>
    <t>Changes (net of taxes)</t>
  </si>
  <si>
    <t>COMPREHENSIVE INCOME ATTRIBUTABLE TO CUMMINS INC.</t>
  </si>
  <si>
    <t>Notes</t>
  </si>
  <si>
    <t>90% correlation CoS</t>
  </si>
  <si>
    <t>Slope</t>
  </si>
  <si>
    <t>Int</t>
  </si>
  <si>
    <t>%Capex</t>
  </si>
  <si>
    <t>Curr Avg</t>
  </si>
  <si>
    <t>Projected 2018 Capex</t>
  </si>
  <si>
    <t>SGA</t>
  </si>
  <si>
    <t>CoS</t>
  </si>
  <si>
    <t>Average</t>
  </si>
  <si>
    <t>% Growth</t>
  </si>
  <si>
    <t>Incr Growth</t>
  </si>
  <si>
    <t>Revisit</t>
  </si>
  <si>
    <t>US Income %</t>
  </si>
  <si>
    <t>avg</t>
  </si>
  <si>
    <t>Assumed</t>
  </si>
  <si>
    <t>average</t>
  </si>
  <si>
    <t>average - revisit</t>
  </si>
  <si>
    <t>Incremental</t>
  </si>
  <si>
    <t>Incremental * .25</t>
  </si>
  <si>
    <t>2017 Equity Return</t>
  </si>
  <si>
    <t>Dividends paid</t>
  </si>
  <si>
    <t>Equity Increase</t>
  </si>
  <si>
    <t>Method</t>
  </si>
  <si>
    <t>Assess bowl dip income in various Chinese investements 2016 - currency?</t>
  </si>
  <si>
    <t>2016 spike seems excessive. Other concerns driving change</t>
  </si>
  <si>
    <t>Value</t>
  </si>
  <si>
    <t>Factor</t>
  </si>
  <si>
    <t>Average of Core Trade</t>
  </si>
  <si>
    <t>Analogy</t>
  </si>
  <si>
    <t>Will be allocated, similar rate to largest driver</t>
  </si>
  <si>
    <t>3 year Incremental</t>
  </si>
  <si>
    <t>Cycle</t>
  </si>
  <si>
    <t>Assumed similar acquisitions periodically</t>
  </si>
  <si>
    <t>Examine</t>
  </si>
  <si>
    <t>Guess</t>
  </si>
  <si>
    <t>Less: MICO</t>
  </si>
  <si>
    <t>MICO Adjustment</t>
  </si>
  <si>
    <t>Incremental * .5</t>
  </si>
  <si>
    <t>No projected Changes in timeframe</t>
  </si>
  <si>
    <t>Appears closed</t>
  </si>
  <si>
    <t>Growth Factor</t>
  </si>
  <si>
    <t>3 yr Incremental</t>
  </si>
  <si>
    <t>2 yr Incremental</t>
  </si>
  <si>
    <t>Revisit - there is a cap on facilities</t>
  </si>
  <si>
    <t>Revisit - Should be traceable</t>
  </si>
  <si>
    <t>(Actual interest expense from income)</t>
  </si>
  <si>
    <t>Net interest recognized as expense on Income Statement</t>
  </si>
  <si>
    <t>Other Interest</t>
  </si>
  <si>
    <t>MICO Note - 2018+</t>
  </si>
  <si>
    <t>Should be netted somewhere</t>
  </si>
  <si>
    <t>Revisit - Untraced. Possible overall explanation</t>
  </si>
  <si>
    <t>New acquisitions</t>
  </si>
  <si>
    <t>Other Pension liabilities</t>
  </si>
  <si>
    <t>These two should match in method</t>
  </si>
  <si>
    <t>Cash paid for income tax - average</t>
  </si>
  <si>
    <t>Link back through Equity (Y) later</t>
  </si>
  <si>
    <t>Link back through n14 OCI</t>
  </si>
  <si>
    <r>
      <t xml:space="preserve">Common stock held by employee </t>
    </r>
    <r>
      <rPr>
        <u/>
        <sz val="11"/>
        <rFont val="Calibri"/>
        <family val="2"/>
        <scheme val="minor"/>
      </rPr>
      <t>benefits</t>
    </r>
    <r>
      <rPr>
        <sz val="11"/>
        <color indexed="0"/>
        <rFont val="Calibri"/>
        <family val="2"/>
        <scheme val="minor"/>
      </rPr>
      <t xml:space="preserve"> trust, at cost, 0.5 and 0.7 shares</t>
    </r>
  </si>
  <si>
    <t>Assets</t>
  </si>
  <si>
    <t>Increase equity or liabilities to match</t>
  </si>
  <si>
    <t>Based on fitted</t>
  </si>
  <si>
    <t>Capped at 0</t>
  </si>
  <si>
    <t>Assumed long term paydown - make sure this is in cash</t>
  </si>
  <si>
    <t>Still needs reconciliation to Balance Sheet</t>
  </si>
  <si>
    <t>Match to value growth methodology</t>
  </si>
  <si>
    <t>Cycle / Average</t>
  </si>
  <si>
    <t xml:space="preserve">Where is this impacted? </t>
  </si>
  <si>
    <t>Validate against pension projection</t>
  </si>
  <si>
    <t>4 yr Incremental</t>
  </si>
  <si>
    <t>Should be derivable</t>
  </si>
  <si>
    <t>Free Cash Flow</t>
  </si>
  <si>
    <t>Liabilities / Assets</t>
  </si>
  <si>
    <t>Less Assumed paid</t>
  </si>
  <si>
    <t>Raised for trademark acquisition in 2019</t>
  </si>
  <si>
    <t>Other debt, Total</t>
  </si>
  <si>
    <t>Core Other debt</t>
  </si>
  <si>
    <t>Remaining Asset balance</t>
  </si>
  <si>
    <t>New Funding Required</t>
  </si>
  <si>
    <t>New Funds</t>
  </si>
  <si>
    <t>New Equity Issuance</t>
  </si>
  <si>
    <t>Long-term debt - Balance</t>
  </si>
  <si>
    <t>Liabilities / Equity - 2014-2017</t>
  </si>
  <si>
    <t>Good one for assumptions and Commentary</t>
  </si>
  <si>
    <t>Beginning Balance</t>
  </si>
  <si>
    <t>LR</t>
  </si>
  <si>
    <t>Segment Roll-Up</t>
  </si>
  <si>
    <t>Locality Projection</t>
  </si>
  <si>
    <t>Year</t>
  </si>
  <si>
    <r>
      <t xml:space="preserve">Overall </t>
    </r>
    <r>
      <rPr>
        <sz val="11"/>
        <color theme="1"/>
        <rFont val="Calibri"/>
        <family val="2"/>
        <scheme val="minor"/>
      </rPr>
      <t>- CAGR</t>
    </r>
  </si>
  <si>
    <r>
      <t xml:space="preserve">Overall - </t>
    </r>
    <r>
      <rPr>
        <sz val="11"/>
        <color theme="1"/>
        <rFont val="Calibri"/>
        <family val="2"/>
        <scheme val="minor"/>
      </rPr>
      <t>Unweighted</t>
    </r>
  </si>
  <si>
    <t>PE</t>
  </si>
  <si>
    <t>U.S. % of sales</t>
  </si>
  <si>
    <t>Non-U.S. % of sales</t>
  </si>
  <si>
    <t>SGA / CoS</t>
  </si>
  <si>
    <t>SGA / (CoS + SGA)</t>
  </si>
  <si>
    <t>SGA + CoS</t>
  </si>
  <si>
    <r>
      <t>Top Down</t>
    </r>
    <r>
      <rPr>
        <sz val="11"/>
        <color theme="1"/>
        <rFont val="Calibri"/>
        <family val="2"/>
        <scheme val="minor"/>
      </rPr>
      <t xml:space="preserve"> - Incr.</t>
    </r>
  </si>
  <si>
    <r>
      <t>Top Down</t>
    </r>
    <r>
      <rPr>
        <sz val="11"/>
        <color theme="1"/>
        <rFont val="Calibri"/>
        <family val="2"/>
        <scheme val="minor"/>
      </rPr>
      <t xml:space="preserve"> - %</t>
    </r>
  </si>
  <si>
    <t>Ref</t>
  </si>
  <si>
    <t>Incr. Growth</t>
  </si>
  <si>
    <t>Segment Roll-Up - %</t>
  </si>
  <si>
    <t>Delta - Incr</t>
  </si>
  <si>
    <t>Delta - Slope</t>
  </si>
  <si>
    <r>
      <t>Top Down</t>
    </r>
    <r>
      <rPr>
        <sz val="11"/>
        <color theme="1"/>
        <rFont val="Calibri"/>
        <family val="2"/>
        <scheme val="minor"/>
      </rPr>
      <t xml:space="preserve"> - Slope</t>
    </r>
  </si>
  <si>
    <t>Incr. Growth - Slope</t>
  </si>
  <si>
    <t>CoS % Growth</t>
  </si>
  <si>
    <t>CAGR</t>
  </si>
  <si>
    <t>% Growth - Rate</t>
  </si>
  <si>
    <t>YoY Growth</t>
  </si>
  <si>
    <t>Increase</t>
  </si>
  <si>
    <t>Delta - Int</t>
  </si>
  <si>
    <t>Value2</t>
  </si>
  <si>
    <t>Projected funding Excess (Shortage)</t>
  </si>
  <si>
    <t>Value 2</t>
  </si>
  <si>
    <t>US</t>
  </si>
  <si>
    <t>Wage Mult</t>
  </si>
  <si>
    <t>Facilities</t>
  </si>
  <si>
    <t>Work</t>
  </si>
  <si>
    <t>HQ</t>
  </si>
  <si>
    <t>total</t>
  </si>
  <si>
    <t>Assume Wage</t>
  </si>
  <si>
    <t>Empl / Fac</t>
  </si>
  <si>
    <t>Cost ($M)</t>
  </si>
  <si>
    <t>Effective Fac.</t>
  </si>
  <si>
    <t>Overhead</t>
  </si>
  <si>
    <t>2017 CoS</t>
  </si>
  <si>
    <t>Less Liabilities</t>
  </si>
  <si>
    <t>Add Pensions</t>
  </si>
  <si>
    <t>Non-liab, Employee</t>
  </si>
  <si>
    <t>Comp % Total</t>
  </si>
  <si>
    <t>Incremental / Avg</t>
  </si>
  <si>
    <t>Revisit - described in notes</t>
  </si>
  <si>
    <t>Incremental Core + New</t>
  </si>
  <si>
    <t>Includes adjustments to capital to support asset growth</t>
  </si>
  <si>
    <t>Based on end of period Benefit obligation</t>
  </si>
  <si>
    <t>Depends on new tax expense - Driven by paydown on 2017 income tax changes</t>
  </si>
  <si>
    <t>Average / Factor</t>
  </si>
  <si>
    <t>Correction Line: Paste values down, right to left</t>
  </si>
  <si>
    <t>Adjustments to Debt and Equity to Balance Assets, Liabilities, and Equity</t>
  </si>
  <si>
    <t>Liabilities / Equity</t>
  </si>
  <si>
    <t>Free Cash Flow to Financing</t>
  </si>
  <si>
    <t>Taxes</t>
  </si>
  <si>
    <t>Stable</t>
  </si>
  <si>
    <t>Key Assumptions</t>
  </si>
  <si>
    <t>Ground Rules</t>
  </si>
  <si>
    <t>Segment Growth Continues</t>
  </si>
  <si>
    <t>Debt / Equity Ratio</t>
  </si>
  <si>
    <t>Dividend Growth</t>
  </si>
  <si>
    <t>Share Repurchase Rate</t>
  </si>
  <si>
    <t>Assumption size, 2018/2017</t>
  </si>
  <si>
    <t>Capex Increase per note</t>
  </si>
  <si>
    <t>Restructuring and Impairment</t>
  </si>
  <si>
    <t>NCI Adjustments</t>
  </si>
  <si>
    <t xml:space="preserve">Ignores 2017 dip </t>
  </si>
  <si>
    <t>US / Foreign blend remains roughly constant</t>
  </si>
  <si>
    <t>Continued deferrment rate similar to previous</t>
  </si>
  <si>
    <t>Financing</t>
  </si>
  <si>
    <t>Historic Period: 2012 - 2017, Minimum: 2014 - 2017</t>
  </si>
  <si>
    <t>OCI</t>
  </si>
  <si>
    <t>Foreign Currency Translation</t>
  </si>
  <si>
    <t>Table of Contents</t>
  </si>
  <si>
    <t>Reporting Data</t>
  </si>
  <si>
    <t>GR&amp;A</t>
  </si>
  <si>
    <t>Predictions</t>
  </si>
  <si>
    <t>Valuation</t>
  </si>
  <si>
    <t>Income Statement (Y)</t>
  </si>
  <si>
    <t>Balance Sheet (Y)</t>
  </si>
  <si>
    <t>Cash Flow (Y)</t>
  </si>
  <si>
    <t>Equity (Y)</t>
  </si>
  <si>
    <t>Segment Earnings</t>
  </si>
  <si>
    <t>Unit Sales</t>
  </si>
  <si>
    <t>N2 Income Tax</t>
  </si>
  <si>
    <t>N3 Equity Investments</t>
  </si>
  <si>
    <t>N4 Mkt Securities</t>
  </si>
  <si>
    <t>N8 Warranties</t>
  </si>
  <si>
    <t>N7 Goodwill</t>
  </si>
  <si>
    <t>N9 Debt</t>
  </si>
  <si>
    <t>N10 Pension</t>
  </si>
  <si>
    <t>N1 O. Liab. and def Rev</t>
  </si>
  <si>
    <t>N13 Sh Eq</t>
  </si>
  <si>
    <t>N14 OCI</t>
  </si>
  <si>
    <t>N15 Stock</t>
  </si>
  <si>
    <t>N17 EPS</t>
  </si>
  <si>
    <t>N21 Op Segs</t>
  </si>
  <si>
    <t>N18 Acquisitions</t>
  </si>
  <si>
    <t>Misc data</t>
  </si>
  <si>
    <t>Additional Commentary</t>
  </si>
  <si>
    <t>Analyst Coverage</t>
  </si>
  <si>
    <t>10k Key Ratios</t>
  </si>
  <si>
    <t>Worksheet</t>
  </si>
  <si>
    <t>Consolidated sales and costs attributable to specific segments. Referenced heavily as a build-up for Income Statement</t>
  </si>
  <si>
    <t>Non-dollar figure derived information about Segment Unit sales.</t>
  </si>
  <si>
    <t>Note 4: Marketable Securities</t>
  </si>
  <si>
    <t>Various un-sorted data collected from 2017 10k.</t>
  </si>
  <si>
    <t>Note 21: Operating Segments. Additional detail on segment operations</t>
  </si>
  <si>
    <t>Note 17: Earnings per Share.</t>
  </si>
  <si>
    <t>Note 15: Stock and Compensation Expense</t>
  </si>
  <si>
    <t>Note 14: Other Comprehensive Income</t>
  </si>
  <si>
    <t>Note 13: Shareholders Equity. Material impacts to Equity, including various stock transactions</t>
  </si>
  <si>
    <t>Note11: Other Liabilities and Deferred Revenue</t>
  </si>
  <si>
    <t>Note 10: Pension. Complete build-out of costs and assets associated with US&amp;UK pension plans</t>
  </si>
  <si>
    <t>Note 9: Debt. information and projections</t>
  </si>
  <si>
    <t>Note 7: Goodwill and other intangible assets</t>
  </si>
  <si>
    <t>Note 8: Warranties</t>
  </si>
  <si>
    <t>Note 3: Equity Investments</t>
  </si>
  <si>
    <t>Note 2: Income tax. Includes buildout of projected foreign &amp; domestic income.</t>
  </si>
  <si>
    <t>Consolidated statement of income.</t>
  </si>
  <si>
    <t>Consolidate balance sheet, including Shareholder's Equity</t>
  </si>
  <si>
    <t>Consolidated Cash flows for operations, investments, and financing</t>
  </si>
  <si>
    <t>Consolidated Statement of Shareholder's Equity, including material impacts</t>
  </si>
  <si>
    <t>Ground Rules and Key Assumptions used in the estimate.</t>
  </si>
  <si>
    <t>Information and high-level charts utilized in report.</t>
  </si>
  <si>
    <t>Extra information needed to develop key projections, particularly Sales and Cost of Sales</t>
  </si>
  <si>
    <t>Buildup of various valuation Methodologies</t>
  </si>
  <si>
    <t>Summary of publicly available analyst projections for various metrics and ratios. Used for comparison.</t>
  </si>
  <si>
    <t>Buildup of 2017 assessment ratios.</t>
  </si>
  <si>
    <t>Ratios and metrics identified by management as critical for assessing business function.</t>
  </si>
  <si>
    <t>This page includes a hyperlinked table of contents outlining information included on each page.</t>
  </si>
  <si>
    <t>Hardcoded table maintained at right for recovery. Macro populates Column B, starting Row 4.</t>
  </si>
  <si>
    <t>Indent</t>
  </si>
  <si>
    <t>Consolidated statement of income. Indent levels indicate roll-up for subtotal tracking.</t>
  </si>
  <si>
    <t>Dollars in millions, except per share amounts</t>
  </si>
  <si>
    <t>Net income attributable to Cummins Inc.</t>
  </si>
  <si>
    <t>Weighted-average common shares outstanding</t>
  </si>
  <si>
    <t>Dilutive effect of stock compensation awards</t>
  </si>
  <si>
    <t>EP common share attributable to Cummins Inc.</t>
  </si>
  <si>
    <t>Value 1</t>
  </si>
  <si>
    <t>Net Share repurchase / year</t>
  </si>
  <si>
    <t>Share Price</t>
  </si>
  <si>
    <t>https://www.nasdaq.com/symbol/cmi/stock-report</t>
  </si>
  <si>
    <t>Common sized EPS</t>
  </si>
  <si>
    <t>Mkt Debt</t>
  </si>
  <si>
    <t>Minority Interest</t>
  </si>
  <si>
    <t>Short</t>
  </si>
  <si>
    <t>Long Term</t>
  </si>
  <si>
    <t>Cash and Equivalents</t>
  </si>
  <si>
    <t>DA</t>
  </si>
  <si>
    <t>Shares / year (M)</t>
  </si>
  <si>
    <t>EV / EBITDA</t>
  </si>
  <si>
    <t>FY17 EV / EBITDA</t>
  </si>
  <si>
    <t>Type</t>
  </si>
  <si>
    <t>Date(Q,M)</t>
  </si>
  <si>
    <t>No. Owners</t>
  </si>
  <si>
    <t>Shares Held (000s)</t>
  </si>
  <si>
    <t>% Own</t>
  </si>
  <si>
    <t>Institutional</t>
  </si>
  <si>
    <t>CMI P/E</t>
  </si>
  <si>
    <t>P/E</t>
  </si>
  <si>
    <t>Stock Price</t>
  </si>
  <si>
    <t>Overarching</t>
  </si>
  <si>
    <t>Hist Price (Dec 31)</t>
  </si>
  <si>
    <t>Investor discount</t>
  </si>
  <si>
    <t>WACC</t>
  </si>
  <si>
    <t>Hist Mkt Cap</t>
  </si>
  <si>
    <t>Hist P/E</t>
  </si>
  <si>
    <t>P/E - Growth</t>
  </si>
  <si>
    <t>P/E - Average</t>
  </si>
  <si>
    <t>%Growth</t>
  </si>
  <si>
    <t>Cost of Debt</t>
  </si>
  <si>
    <t>Cost of Equity</t>
  </si>
  <si>
    <t>Equity Financing %</t>
  </si>
  <si>
    <t>Debt Financing %</t>
  </si>
  <si>
    <t>tax rate</t>
  </si>
  <si>
    <t>Dividend Growth Rate</t>
  </si>
  <si>
    <t>CAPM WACC</t>
  </si>
  <si>
    <t>Discount</t>
  </si>
  <si>
    <t>Period Cash Flow</t>
  </si>
  <si>
    <t>Terminal</t>
  </si>
  <si>
    <t>CMI P/E(17)</t>
  </si>
  <si>
    <t>Total Return, YoY</t>
  </si>
  <si>
    <t>Ending Equity</t>
  </si>
  <si>
    <t>Equity per Share</t>
  </si>
  <si>
    <t>Price to Equity</t>
  </si>
  <si>
    <t>Price Target</t>
  </si>
  <si>
    <t>P/ Sh Eq</t>
  </si>
  <si>
    <t>2018 Target
($/Sh)</t>
  </si>
  <si>
    <t>2022 Target</t>
  </si>
  <si>
    <t>Long run</t>
  </si>
  <si>
    <t>PV Return</t>
  </si>
  <si>
    <t>Measurements and estimates related to costs of capital</t>
  </si>
  <si>
    <t>Invested Capital</t>
  </si>
  <si>
    <t>EARNINGS PER COMMON SHARE ATTRIBUTABLE TO CUMMINS INC. (Note 17)</t>
  </si>
  <si>
    <t>2020 EPS</t>
  </si>
  <si>
    <t>Validate this against stated buy back plan</t>
  </si>
  <si>
    <t>As of 5/3/2018</t>
  </si>
  <si>
    <t>Not sure of justification of change - price in growth adjustments?</t>
  </si>
  <si>
    <t>194 / 144</t>
  </si>
  <si>
    <t>Share Price (5/3)</t>
  </si>
  <si>
    <t>vast majority of intersegment sales flow through distribution segement</t>
  </si>
  <si>
    <t>North American heavy-duty truck demand is expected to improve</t>
  </si>
  <si>
    <t xml:space="preserve"> • North American medium-duty truck demand will remain strong</t>
  </si>
  <si>
    <t xml:space="preserve"> • Demand for pick up trucks in North America will remain strong</t>
  </si>
  <si>
    <t xml:space="preserve"> • Industry production of medium-duty trucks in North America will remain strong</t>
  </si>
  <si>
    <t xml:space="preserve"> • Market demand may continue to improve in global mining</t>
  </si>
  <si>
    <t xml:space="preserve"> • Global construction markets could continue to improve</t>
  </si>
  <si>
    <t xml:space="preserve"> • Economic conditions in Brazil may begin to improve, which could contribute to improved demand in our end-markets</t>
  </si>
  <si>
    <t>• Market demand in truck markets in China is expected to decline</t>
  </si>
  <si>
    <t xml:space="preserve"> • Marine markets are expected to remain weak</t>
  </si>
  <si>
    <t>Total $</t>
  </si>
  <si>
    <t>Outlook</t>
  </si>
  <si>
    <t>Assume breakdown of foreign distribution segments is same</t>
  </si>
  <si>
    <t>Correlation to Overall Sales</t>
  </si>
  <si>
    <t>Share, 2017</t>
  </si>
  <si>
    <t>Canada/Mexico</t>
  </si>
  <si>
    <t>What-If</t>
  </si>
  <si>
    <t>Reversal of engine segment sales decline</t>
  </si>
  <si>
    <t>Parts (and filtration)</t>
  </si>
  <si>
    <t>PACCAR</t>
  </si>
  <si>
    <t>Navistar, Daimler, Fiat Chrysler</t>
  </si>
  <si>
    <t>Navistar</t>
  </si>
  <si>
    <t>Daimler</t>
  </si>
  <si>
    <t>Fiat Chrysler</t>
  </si>
  <si>
    <t>%</t>
  </si>
  <si>
    <t>Sales $</t>
  </si>
  <si>
    <t>Sales Growth</t>
  </si>
  <si>
    <t>CMI Sales</t>
  </si>
  <si>
    <t>CMI YoY Growth</t>
  </si>
  <si>
    <t>What if</t>
  </si>
  <si>
    <t>Largest drivers</t>
  </si>
  <si>
    <t>Region</t>
  </si>
  <si>
    <t>Share of Facilities</t>
  </si>
  <si>
    <t>Adj Share</t>
  </si>
  <si>
    <t>Score</t>
  </si>
  <si>
    <t>2017 Cost</t>
  </si>
  <si>
    <t>USD / …</t>
  </si>
  <si>
    <t>USD Inflation</t>
  </si>
  <si>
    <t>https://www.statista.com/statistics/244983/projected-inflation-rate-in-the-united-states/</t>
  </si>
  <si>
    <t>(June)</t>
  </si>
  <si>
    <t>Compound</t>
  </si>
  <si>
    <t>Sales / Cos</t>
  </si>
  <si>
    <t>Exchange Rate Exposure</t>
  </si>
  <si>
    <t>Inflation Effects</t>
  </si>
  <si>
    <t>Core Effects</t>
  </si>
  <si>
    <t>CoS Growth</t>
  </si>
  <si>
    <t>Various un-sorted data collected from 2017 10k. Includes exchange rate calculations</t>
  </si>
  <si>
    <t>Composition</t>
  </si>
  <si>
    <t>Scenario</t>
  </si>
  <si>
    <t>Exchange Effects</t>
  </si>
  <si>
    <t>New Composition</t>
  </si>
  <si>
    <t>US Inflation raises Sales and Cost of Sales at same rate</t>
  </si>
  <si>
    <t>Impact Area</t>
  </si>
  <si>
    <t>Operating Income</t>
  </si>
  <si>
    <t>Operating Expense</t>
  </si>
  <si>
    <t>Net Cash</t>
  </si>
  <si>
    <t>Key assumptions - estimated impact approximately greater than $500 M in any one year, or &gt;5% of any valuation method</t>
  </si>
  <si>
    <t>Variance in Largest Customers</t>
  </si>
  <si>
    <t>CMI Composition</t>
  </si>
  <si>
    <t>Big 4 Sales</t>
  </si>
  <si>
    <t>All Other</t>
  </si>
  <si>
    <t>New Total</t>
  </si>
  <si>
    <t>Best Case - Industry follows core</t>
  </si>
  <si>
    <t>Worst Case - Big 4 grow, all other sales flat</t>
  </si>
  <si>
    <t>Cumulative Add-back</t>
  </si>
  <si>
    <t>Toggle Scenario</t>
  </si>
  <si>
    <t>SGA / CoS split</t>
  </si>
  <si>
    <t>(1=Base, 2 = Appreciation, 3 = Depreciation)</t>
  </si>
  <si>
    <t>Base Case</t>
  </si>
  <si>
    <t>Compound Change</t>
  </si>
  <si>
    <t>Avg Delta</t>
  </si>
  <si>
    <t>Enhanced Depreciation  vs. Dollar</t>
  </si>
  <si>
    <t>Appreciation vs. Dollar (Static Exchange Rate)</t>
  </si>
  <si>
    <t>0 = No Addback, 1 = Addback</t>
  </si>
  <si>
    <t>(1=Base, 2 = Best Case, 3 = Worst Case)</t>
  </si>
  <si>
    <t>Appreciation Assumption Size</t>
  </si>
  <si>
    <t>Foreign price levels depreciate against USD, key customers drive growth, Engine segment recovers</t>
  </si>
  <si>
    <t>Continued low performance of Engine segment offset by other segements and effective cost management</t>
  </si>
  <si>
    <t xml:space="preserve"> PV Total Return</t>
  </si>
  <si>
    <t>Scenario Assumptions</t>
  </si>
  <si>
    <t>Compound Return Rate, YoY</t>
  </si>
  <si>
    <t>Costs</t>
  </si>
  <si>
    <t>CIR</t>
  </si>
  <si>
    <t>Regional, 2017</t>
  </si>
  <si>
    <t>Forecast</t>
  </si>
  <si>
    <t>Base Case - Index</t>
  </si>
  <si>
    <t>Flat</t>
  </si>
  <si>
    <t>Foreign price levels appreciate against USD and key domestic customers fail to increase purchases</t>
  </si>
  <si>
    <t>Correl</t>
  </si>
  <si>
    <t>Rsq</t>
  </si>
  <si>
    <t>Total Sales</t>
  </si>
  <si>
    <t>Total EBIT</t>
  </si>
  <si>
    <t>(Reverse order)</t>
  </si>
  <si>
    <t>Sales Growth (Chart only)</t>
  </si>
  <si>
    <t>Impact Size ($M)</t>
  </si>
  <si>
    <t>EBT</t>
  </si>
  <si>
    <t>Net Sales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</si>
</sst>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6" formatCode="&quot;$&quot;#,##0_);[Red]\(&quot;$&quot;#,##0\)"/>
    <numFmt numFmtId="8" formatCode="&quot;$&quot;#,##0.00_);[Red]\(&quot;$&quot;#,##0.00\)"/>
    <numFmt numFmtId="44" formatCode="_(&quot;$&quot;* #,##0.00_);_(&quot;$&quot;* \(#,##0.00\);_(&quot;$&quot;* &quot;-&quot;??_);_(@_)"/>
    <numFmt numFmtId="43" formatCode="_(* #,##0.00_);_(* \(#,##0.00\);_(* &quot;-&quot;??_);_(@_)"/>
    <numFmt numFmtId="164" formatCode="#,##0_);\(#,##0\);_(&quot;-&quot;??_)"/>
    <numFmt numFmtId="165" formatCode="#,##0.00_);\(#,##0.00\);_(&quot;-&quot;??_)"/>
    <numFmt numFmtId="166" formatCode="#,##0.0_);\(#,##0.0\);_(&quot;-&quot;??_)"/>
    <numFmt numFmtId="167" formatCode="0.0"/>
    <numFmt numFmtId="168" formatCode="_(* #,##0_);_(* \(#,##0\);_(* &quot;-&quot;??_);_(@_)"/>
    <numFmt numFmtId="169" formatCode="&quot;$&quot;#,##0;[Red]\(&quot;$&quot;##,#00\)"/>
    <numFmt numFmtId="170" formatCode="&quot;$&quot;#,##0.00;[Red]\(&quot;$&quot;#,##0.00\)"/>
    <numFmt numFmtId="171" formatCode="&quot;$&quot;#,##0.0;[Red]\(&quot;$&quot;##,#00.0\)"/>
    <numFmt numFmtId="172" formatCode="#,##0;[Red]\(#,##0\)"/>
    <numFmt numFmtId="173" formatCode="0.0%"/>
    <numFmt numFmtId="174" formatCode="#,##0.00;[Red]\(#,##0.00\)"/>
    <numFmt numFmtId="175" formatCode="#,##0.000_);\(#,##0.000\);_(&quot;-&quot;??_)"/>
    <numFmt numFmtId="176" formatCode="0.0000"/>
    <numFmt numFmtId="177" formatCode="0.000"/>
    <numFmt numFmtId="178" formatCode="&quot;$&quot;#,##0"/>
    <numFmt numFmtId="179" formatCode="0.0000000000000000%"/>
  </numFmts>
  <fonts count="36" x14ac:knownFonts="1">
    <font>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font>
    <font>
      <sz val="11"/>
      <color indexed="0"/>
      <name val="Calibri"/>
      <family val="2"/>
    </font>
    <font>
      <b/>
      <sz val="11"/>
      <color theme="0"/>
      <name val="Calibri"/>
      <family val="2"/>
      <scheme val="minor"/>
    </font>
    <font>
      <sz val="11"/>
      <color rgb="FF000000"/>
      <name val="Calibri"/>
      <family val="2"/>
    </font>
    <font>
      <sz val="11"/>
      <color theme="1"/>
      <name val="Calibri"/>
      <family val="2"/>
    </font>
    <font>
      <b/>
      <sz val="11"/>
      <name val="Calibri"/>
      <family val="2"/>
    </font>
    <font>
      <sz val="11"/>
      <name val="Calibri"/>
      <family val="2"/>
    </font>
    <font>
      <b/>
      <sz val="11"/>
      <color indexed="0"/>
      <name val="Calibri"/>
      <family val="2"/>
    </font>
    <font>
      <b/>
      <sz val="11"/>
      <color rgb="FF000000"/>
      <name val="Calibri"/>
      <family val="2"/>
    </font>
    <font>
      <sz val="11"/>
      <color indexed="0"/>
      <name val="Calibri"/>
      <family val="2"/>
      <scheme val="minor"/>
    </font>
    <font>
      <b/>
      <sz val="11"/>
      <color indexed="0"/>
      <name val="Calibri"/>
      <family val="2"/>
      <scheme val="minor"/>
    </font>
    <font>
      <sz val="11"/>
      <color rgb="FF000000"/>
      <name val="Calibri"/>
      <family val="2"/>
      <scheme val="minor"/>
    </font>
    <font>
      <b/>
      <sz val="11"/>
      <name val="Calibri"/>
      <family val="2"/>
      <scheme val="minor"/>
    </font>
    <font>
      <sz val="11"/>
      <name val="Calibri"/>
      <family val="2"/>
      <scheme val="minor"/>
    </font>
    <font>
      <i/>
      <sz val="11"/>
      <name val="Calibri"/>
      <family val="2"/>
      <scheme val="minor"/>
    </font>
    <font>
      <sz val="9"/>
      <color indexed="81"/>
      <name val="Tahoma"/>
      <family val="2"/>
    </font>
    <font>
      <b/>
      <sz val="9"/>
      <color indexed="81"/>
      <name val="Tahoma"/>
      <family val="2"/>
    </font>
    <font>
      <sz val="9"/>
      <color indexed="0"/>
      <name val="Courier New"/>
      <family val="3"/>
    </font>
    <font>
      <i/>
      <sz val="11"/>
      <color theme="1"/>
      <name val="Calibri"/>
      <family val="2"/>
      <scheme val="minor"/>
    </font>
    <font>
      <b/>
      <sz val="9"/>
      <color indexed="0"/>
      <name val="Courier New"/>
      <family val="3"/>
    </font>
    <font>
      <i/>
      <sz val="11"/>
      <name val="Calibri"/>
      <family val="2"/>
    </font>
    <font>
      <sz val="10"/>
      <color rgb="FF000000"/>
      <name val="Calibri"/>
      <family val="2"/>
    </font>
    <font>
      <u/>
      <sz val="11"/>
      <name val="Calibri"/>
      <family val="2"/>
      <scheme val="minor"/>
    </font>
    <font>
      <b/>
      <sz val="14"/>
      <color theme="1"/>
      <name val="Calibri"/>
      <family val="2"/>
      <scheme val="minor"/>
    </font>
    <font>
      <u/>
      <sz val="11"/>
      <color theme="10"/>
      <name val="Calibri"/>
      <family val="2"/>
      <scheme val="minor"/>
    </font>
    <font>
      <u/>
      <sz val="11"/>
      <color theme="0"/>
      <name val="Calibri"/>
      <family val="2"/>
      <scheme val="minor"/>
    </font>
    <font>
      <u/>
      <sz val="11"/>
      <color theme="1"/>
      <name val="Calibri"/>
      <family val="2"/>
      <scheme val="minor"/>
    </font>
    <font>
      <b/>
      <u/>
      <sz val="11"/>
      <color theme="0"/>
      <name val="Calibri"/>
      <family val="2"/>
      <scheme val="minor"/>
    </font>
    <font>
      <sz val="10"/>
      <color rgb="FF000000"/>
      <name val="Arial"/>
      <family val="2"/>
    </font>
    <font>
      <b/>
      <sz val="10"/>
      <color rgb="FF000000"/>
      <name val="Arial"/>
      <family val="2"/>
    </font>
    <font>
      <b/>
      <sz val="12"/>
      <color theme="1"/>
      <name val="Calibri"/>
      <family val="2"/>
      <scheme val="minor"/>
    </font>
    <font>
      <b/>
      <sz val="16"/>
      <color theme="1"/>
      <name val="Calibri"/>
      <family val="2"/>
      <scheme val="minor"/>
    </font>
    <font>
      <b/>
      <sz val="11"/>
      <color rgb="FF000000"/>
      <name val="Calibri"/>
      <family val="2"/>
      <scheme val="minor"/>
    </font>
  </fonts>
  <fills count="17">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9"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rgb="FFCCCCCC"/>
        <bgColor indexed="64"/>
      </patternFill>
    </fill>
    <fill>
      <patternFill patternType="solid">
        <fgColor theme="8" tint="0.79998168889431442"/>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style="double">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9" fontId="1" fillId="0" borderId="0" applyFont="0" applyFill="0" applyBorder="0" applyAlignment="0" applyProtection="0"/>
    <xf numFmtId="0" fontId="3" fillId="0" borderId="0">
      <alignment vertical="center"/>
    </xf>
    <xf numFmtId="43" fontId="1" fillId="0" borderId="0" applyFont="0" applyFill="0" applyBorder="0" applyAlignment="0" applyProtection="0"/>
    <xf numFmtId="44" fontId="1" fillId="0" borderId="0" applyFont="0" applyFill="0" applyBorder="0" applyAlignment="0" applyProtection="0"/>
    <xf numFmtId="0" fontId="27" fillId="0" borderId="0" applyNumberFormat="0" applyFill="0" applyBorder="0" applyAlignment="0" applyProtection="0"/>
  </cellStyleXfs>
  <cellXfs count="513">
    <xf numFmtId="0" fontId="0" fillId="0" borderId="0" xfId="0"/>
    <xf numFmtId="0" fontId="2" fillId="0" borderId="0" xfId="0" applyFont="1"/>
    <xf numFmtId="6" fontId="0" fillId="0" borderId="0" xfId="0" applyNumberFormat="1"/>
    <xf numFmtId="9" fontId="0" fillId="0" borderId="0" xfId="1" applyFont="1"/>
    <xf numFmtId="0" fontId="3" fillId="0" borderId="0" xfId="2" applyFont="1">
      <alignment vertical="center"/>
    </xf>
    <xf numFmtId="0" fontId="4" fillId="0" borderId="0" xfId="2" applyFont="1" applyBorder="1" applyAlignment="1">
      <alignment horizontal="center" vertical="center"/>
    </xf>
    <xf numFmtId="0" fontId="4" fillId="0" borderId="0" xfId="2" applyFont="1" applyProtection="1">
      <alignment vertical="center"/>
      <protection locked="0"/>
    </xf>
    <xf numFmtId="0" fontId="0" fillId="0" borderId="0" xfId="0" applyAlignment="1">
      <alignment horizontal="center"/>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1" fontId="0" fillId="0" borderId="0" xfId="0" applyNumberFormat="1"/>
    <xf numFmtId="167" fontId="0" fillId="0" borderId="0" xfId="0" applyNumberFormat="1"/>
    <xf numFmtId="3" fontId="0" fillId="0" borderId="0" xfId="0" applyNumberFormat="1" applyAlignment="1">
      <alignment horizontal="center"/>
    </xf>
    <xf numFmtId="9" fontId="0" fillId="0" borderId="0" xfId="0" applyNumberFormat="1"/>
    <xf numFmtId="10" fontId="0" fillId="0" borderId="0" xfId="0" applyNumberFormat="1"/>
    <xf numFmtId="2" fontId="0" fillId="0" borderId="0" xfId="0" applyNumberFormat="1"/>
    <xf numFmtId="16" fontId="0" fillId="0" borderId="0" xfId="0" applyNumberFormat="1"/>
    <xf numFmtId="167" fontId="2" fillId="0" borderId="0" xfId="0" applyNumberFormat="1" applyFont="1" applyAlignment="1">
      <alignment horizontal="center"/>
    </xf>
    <xf numFmtId="0" fontId="0" fillId="0" borderId="1" xfId="0" applyBorder="1" applyAlignment="1">
      <alignment horizontal="left" vertical="center"/>
    </xf>
    <xf numFmtId="2" fontId="0" fillId="0" borderId="1" xfId="0" applyNumberFormat="1" applyBorder="1" applyAlignment="1">
      <alignment horizontal="center" vertical="center"/>
    </xf>
    <xf numFmtId="0" fontId="0" fillId="0" borderId="1" xfId="0" applyBorder="1" applyAlignment="1">
      <alignment horizontal="center" vertical="center"/>
    </xf>
    <xf numFmtId="0" fontId="0" fillId="5" borderId="0" xfId="0" applyFill="1"/>
    <xf numFmtId="168" fontId="0" fillId="5" borderId="0" xfId="3" applyNumberFormat="1" applyFont="1" applyFill="1"/>
    <xf numFmtId="0" fontId="2" fillId="5" borderId="2" xfId="0" applyFont="1" applyFill="1" applyBorder="1"/>
    <xf numFmtId="168" fontId="2" fillId="5" borderId="2" xfId="3" applyNumberFormat="1" applyFont="1" applyFill="1" applyBorder="1"/>
    <xf numFmtId="43" fontId="0" fillId="5" borderId="0" xfId="3" applyNumberFormat="1" applyFont="1" applyFill="1"/>
    <xf numFmtId="167" fontId="0" fillId="5" borderId="0" xfId="0" applyNumberFormat="1" applyFill="1" applyAlignment="1">
      <alignment horizontal="center"/>
    </xf>
    <xf numFmtId="0" fontId="5" fillId="4" borderId="0" xfId="0" applyFont="1" applyFill="1"/>
    <xf numFmtId="0" fontId="6" fillId="0" borderId="0" xfId="2" applyFont="1">
      <alignment vertical="center"/>
    </xf>
    <xf numFmtId="0" fontId="0" fillId="5" borderId="1" xfId="0" applyFill="1" applyBorder="1" applyAlignment="1">
      <alignment vertical="center" wrapText="1"/>
    </xf>
    <xf numFmtId="0" fontId="0" fillId="5" borderId="3" xfId="0" applyFill="1" applyBorder="1"/>
    <xf numFmtId="0" fontId="0" fillId="5" borderId="4" xfId="0" applyFill="1" applyBorder="1"/>
    <xf numFmtId="0" fontId="0" fillId="5" borderId="5" xfId="0" applyFill="1" applyBorder="1"/>
    <xf numFmtId="0" fontId="5" fillId="4" borderId="0" xfId="0" applyFont="1" applyFill="1" applyAlignment="1">
      <alignment horizontal="center"/>
    </xf>
    <xf numFmtId="0" fontId="0" fillId="5" borderId="3" xfId="0" applyFill="1" applyBorder="1" applyAlignment="1">
      <alignment wrapText="1"/>
    </xf>
    <xf numFmtId="0" fontId="2" fillId="2" borderId="1" xfId="0" applyFont="1" applyFill="1" applyBorder="1" applyAlignment="1">
      <alignment vertical="center"/>
    </xf>
    <xf numFmtId="0" fontId="2" fillId="2" borderId="1" xfId="0" applyFont="1" applyFill="1" applyBorder="1"/>
    <xf numFmtId="0" fontId="2" fillId="5" borderId="0" xfId="0" applyFont="1" applyFill="1"/>
    <xf numFmtId="9" fontId="2" fillId="5" borderId="1" xfId="1" applyFont="1" applyFill="1" applyBorder="1" applyAlignment="1">
      <alignment horizontal="center"/>
    </xf>
    <xf numFmtId="0" fontId="0" fillId="5" borderId="4" xfId="0" applyFill="1" applyBorder="1" applyAlignment="1">
      <alignment vertical="top"/>
    </xf>
    <xf numFmtId="0" fontId="0" fillId="5" borderId="4" xfId="0" applyFill="1" applyBorder="1" applyAlignment="1">
      <alignment vertical="top" wrapText="1"/>
    </xf>
    <xf numFmtId="0" fontId="0" fillId="5" borderId="5" xfId="0" applyFill="1" applyBorder="1" applyAlignment="1">
      <alignment vertical="top" wrapText="1"/>
    </xf>
    <xf numFmtId="1" fontId="0" fillId="5" borderId="0" xfId="0" applyNumberFormat="1" applyFill="1" applyAlignment="1">
      <alignment horizontal="center"/>
    </xf>
    <xf numFmtId="0" fontId="5" fillId="4" borderId="1" xfId="0" applyFont="1" applyFill="1" applyBorder="1" applyAlignment="1">
      <alignment horizontal="left" vertical="center" wrapText="1"/>
    </xf>
    <xf numFmtId="0" fontId="5" fillId="4" borderId="1" xfId="0" applyFont="1" applyFill="1" applyBorder="1" applyAlignment="1">
      <alignment horizontal="center" vertical="center" wrapText="1"/>
    </xf>
    <xf numFmtId="2" fontId="0" fillId="5" borderId="0" xfId="3" applyNumberFormat="1" applyFont="1" applyFill="1" applyAlignment="1">
      <alignment horizontal="center"/>
    </xf>
    <xf numFmtId="2" fontId="0" fillId="5" borderId="0" xfId="0" applyNumberFormat="1" applyFill="1" applyAlignment="1">
      <alignment horizontal="center"/>
    </xf>
    <xf numFmtId="0" fontId="5" fillId="4" borderId="0" xfId="0" applyFont="1" applyFill="1" applyAlignment="1"/>
    <xf numFmtId="3" fontId="0" fillId="5" borderId="0" xfId="0" applyNumberFormat="1" applyFill="1" applyAlignment="1">
      <alignment horizontal="center"/>
    </xf>
    <xf numFmtId="9" fontId="0" fillId="5" borderId="0" xfId="1" applyFont="1" applyFill="1" applyAlignment="1">
      <alignment horizontal="center"/>
    </xf>
    <xf numFmtId="1" fontId="0" fillId="0" borderId="1" xfId="0" applyNumberFormat="1" applyBorder="1" applyAlignment="1">
      <alignment horizontal="center" vertical="center"/>
    </xf>
    <xf numFmtId="1" fontId="2" fillId="0" borderId="1" xfId="0" applyNumberFormat="1" applyFont="1" applyBorder="1" applyAlignment="1">
      <alignment horizontal="center" vertical="center"/>
    </xf>
    <xf numFmtId="0" fontId="0" fillId="0" borderId="0" xfId="0" applyAlignment="1">
      <alignment horizontal="center"/>
    </xf>
    <xf numFmtId="0" fontId="0" fillId="0" borderId="0" xfId="0" applyAlignment="1">
      <alignment horizontal="center"/>
    </xf>
    <xf numFmtId="0" fontId="2" fillId="0" borderId="6" xfId="0" applyFont="1" applyBorder="1" applyAlignment="1">
      <alignment horizontal="center"/>
    </xf>
    <xf numFmtId="0" fontId="0" fillId="0" borderId="7" xfId="0" applyBorder="1"/>
    <xf numFmtId="0" fontId="0" fillId="0" borderId="8" xfId="0" applyBorder="1"/>
    <xf numFmtId="0" fontId="2" fillId="0" borderId="9" xfId="0" applyFont="1" applyBorder="1" applyAlignment="1">
      <alignment horizontal="center"/>
    </xf>
    <xf numFmtId="0" fontId="2" fillId="0" borderId="10" xfId="0" applyFont="1" applyBorder="1" applyAlignment="1">
      <alignment horizontal="center"/>
    </xf>
    <xf numFmtId="0" fontId="0" fillId="0" borderId="11" xfId="0" applyBorder="1"/>
    <xf numFmtId="0" fontId="0" fillId="0" borderId="12" xfId="0" applyBorder="1"/>
    <xf numFmtId="0" fontId="0" fillId="0" borderId="11" xfId="0" applyBorder="1" applyAlignment="1">
      <alignment horizontal="left" indent="2"/>
    </xf>
    <xf numFmtId="14" fontId="0" fillId="0" borderId="0" xfId="0" applyNumberFormat="1"/>
    <xf numFmtId="6" fontId="0" fillId="0" borderId="0" xfId="0" applyNumberFormat="1" applyAlignment="1">
      <alignment horizontal="center"/>
    </xf>
    <xf numFmtId="9" fontId="0" fillId="0" borderId="0" xfId="0" applyNumberFormat="1" applyAlignment="1">
      <alignment horizontal="center"/>
    </xf>
    <xf numFmtId="6" fontId="0" fillId="3" borderId="0" xfId="0" applyNumberFormat="1" applyFill="1" applyAlignment="1">
      <alignment horizontal="center"/>
    </xf>
    <xf numFmtId="8" fontId="0" fillId="0" borderId="0" xfId="0" applyNumberFormat="1"/>
    <xf numFmtId="0" fontId="7" fillId="0" borderId="0" xfId="0" applyFont="1" applyAlignment="1"/>
    <xf numFmtId="0" fontId="7" fillId="0" borderId="0" xfId="0" applyFont="1"/>
    <xf numFmtId="0" fontId="4" fillId="0" borderId="0" xfId="0" applyFont="1" applyFill="1" applyAlignment="1" applyProtection="1"/>
    <xf numFmtId="0" fontId="8" fillId="0" borderId="0" xfId="2" applyFont="1">
      <alignment vertical="center"/>
    </xf>
    <xf numFmtId="0" fontId="8" fillId="0" borderId="0" xfId="0" applyFont="1" applyFill="1" applyAlignment="1" applyProtection="1"/>
    <xf numFmtId="0" fontId="4" fillId="0" borderId="0" xfId="0" applyFont="1" applyFill="1" applyAlignment="1" applyProtection="1">
      <alignment horizontal="right"/>
    </xf>
    <xf numFmtId="164" fontId="9" fillId="0" borderId="0" xfId="2" applyNumberFormat="1" applyFont="1">
      <alignment vertical="center"/>
    </xf>
    <xf numFmtId="0" fontId="4" fillId="0" borderId="0" xfId="0" applyFont="1" applyFill="1" applyAlignment="1" applyProtection="1">
      <alignment horizontal="left" indent="2"/>
    </xf>
    <xf numFmtId="165" fontId="9" fillId="0" borderId="0" xfId="2" applyNumberFormat="1" applyFont="1">
      <alignment vertical="center"/>
    </xf>
    <xf numFmtId="166" fontId="9" fillId="0" borderId="0" xfId="2" applyNumberFormat="1" applyFont="1">
      <alignment vertical="center"/>
    </xf>
    <xf numFmtId="0" fontId="10" fillId="0" borderId="0" xfId="0" applyFont="1" applyFill="1" applyAlignment="1" applyProtection="1"/>
    <xf numFmtId="0" fontId="9" fillId="0" borderId="0" xfId="0" applyFont="1" applyFill="1" applyAlignment="1" applyProtection="1"/>
    <xf numFmtId="37" fontId="9" fillId="0" borderId="0" xfId="2" applyNumberFormat="1" applyFont="1">
      <alignment vertical="center"/>
    </xf>
    <xf numFmtId="0" fontId="4" fillId="0" borderId="0" xfId="0" applyFont="1" applyFill="1" applyAlignment="1" applyProtection="1">
      <alignment horizontal="left"/>
    </xf>
    <xf numFmtId="0" fontId="4" fillId="0" borderId="0" xfId="2" applyFont="1" applyAlignment="1" applyProtection="1">
      <alignment horizontal="left" vertical="center" indent="2"/>
      <protection locked="0"/>
    </xf>
    <xf numFmtId="0" fontId="8" fillId="0" borderId="0" xfId="2" applyFont="1" applyProtection="1">
      <alignment vertical="center"/>
      <protection locked="0"/>
    </xf>
    <xf numFmtId="0" fontId="11" fillId="0" borderId="0" xfId="2" applyFont="1" applyAlignment="1">
      <alignment horizontal="center" vertical="center"/>
    </xf>
    <xf numFmtId="0" fontId="7" fillId="0" borderId="0" xfId="0" applyFont="1" applyAlignment="1">
      <alignment horizontal="left"/>
    </xf>
    <xf numFmtId="0" fontId="6" fillId="0" borderId="0" xfId="2" applyFont="1" applyAlignment="1">
      <alignment horizontal="left" vertical="center"/>
    </xf>
    <xf numFmtId="10" fontId="0" fillId="0" borderId="0" xfId="0" applyNumberFormat="1" applyAlignment="1">
      <alignment horizontal="center"/>
    </xf>
    <xf numFmtId="0" fontId="0" fillId="0" borderId="0" xfId="0" applyFont="1"/>
    <xf numFmtId="0" fontId="12" fillId="0" borderId="0" xfId="0" applyFont="1" applyFill="1" applyAlignment="1" applyProtection="1">
      <alignment horizontal="right"/>
    </xf>
    <xf numFmtId="0" fontId="12" fillId="0" borderId="0" xfId="0" applyFont="1" applyFill="1" applyAlignment="1" applyProtection="1"/>
    <xf numFmtId="2" fontId="12" fillId="0" borderId="0" xfId="0" applyNumberFormat="1" applyFont="1" applyFill="1" applyAlignment="1" applyProtection="1">
      <alignment horizontal="right"/>
    </xf>
    <xf numFmtId="0" fontId="13" fillId="0" borderId="0" xfId="0" applyFont="1" applyFill="1" applyAlignment="1" applyProtection="1"/>
    <xf numFmtId="169" fontId="12" fillId="0" borderId="0" xfId="0" applyNumberFormat="1" applyFont="1" applyFill="1" applyAlignment="1" applyProtection="1">
      <alignment horizontal="right"/>
    </xf>
    <xf numFmtId="172" fontId="12" fillId="0" borderId="0" xfId="0" applyNumberFormat="1" applyFont="1" applyFill="1" applyAlignment="1" applyProtection="1">
      <alignment horizontal="right"/>
    </xf>
    <xf numFmtId="0" fontId="12" fillId="0" borderId="0" xfId="2" applyFont="1" applyBorder="1" applyAlignment="1">
      <alignment horizontal="center" vertical="center"/>
    </xf>
    <xf numFmtId="0" fontId="12" fillId="0" borderId="0" xfId="2" applyFont="1" applyProtection="1">
      <alignment vertical="center"/>
      <protection locked="0"/>
    </xf>
    <xf numFmtId="0" fontId="14" fillId="0" borderId="0" xfId="2" applyFont="1">
      <alignment vertical="center"/>
    </xf>
    <xf numFmtId="0" fontId="4" fillId="0" borderId="0" xfId="2" applyFont="1" applyBorder="1" applyAlignment="1">
      <alignment horizontal="left" vertical="center"/>
    </xf>
    <xf numFmtId="0" fontId="8" fillId="0" borderId="0" xfId="2" applyFont="1" applyBorder="1" applyAlignment="1">
      <alignment horizontal="left" vertical="center"/>
    </xf>
    <xf numFmtId="1" fontId="12" fillId="0" borderId="0" xfId="0" applyNumberFormat="1" applyFont="1" applyFill="1" applyAlignment="1" applyProtection="1">
      <alignment horizontal="center"/>
    </xf>
    <xf numFmtId="169" fontId="12" fillId="0" borderId="0" xfId="0" applyNumberFormat="1" applyFont="1" applyFill="1" applyAlignment="1" applyProtection="1">
      <alignment horizontal="center"/>
    </xf>
    <xf numFmtId="0" fontId="12" fillId="0" borderId="0" xfId="0" applyFont="1" applyFill="1" applyAlignment="1" applyProtection="1">
      <alignment horizontal="center"/>
    </xf>
    <xf numFmtId="172" fontId="12" fillId="0" borderId="0" xfId="0" applyNumberFormat="1" applyFont="1" applyFill="1" applyAlignment="1" applyProtection="1">
      <alignment horizontal="center"/>
    </xf>
    <xf numFmtId="3" fontId="12" fillId="0" borderId="0" xfId="0" applyNumberFormat="1" applyFont="1" applyFill="1" applyAlignment="1" applyProtection="1">
      <alignment horizontal="center"/>
    </xf>
    <xf numFmtId="172" fontId="12" fillId="6" borderId="15" xfId="0" applyNumberFormat="1" applyFont="1" applyFill="1" applyBorder="1" applyAlignment="1" applyProtection="1">
      <alignment horizontal="center"/>
    </xf>
    <xf numFmtId="0" fontId="12" fillId="6" borderId="16" xfId="0" applyFont="1" applyFill="1" applyBorder="1" applyAlignment="1" applyProtection="1">
      <alignment horizontal="center"/>
    </xf>
    <xf numFmtId="3" fontId="0" fillId="0" borderId="12" xfId="0" applyNumberFormat="1" applyBorder="1"/>
    <xf numFmtId="3" fontId="0" fillId="0" borderId="0" xfId="0" applyNumberFormat="1"/>
    <xf numFmtId="0" fontId="4" fillId="0" borderId="0" xfId="0" applyFont="1" applyFill="1" applyAlignment="1" applyProtection="1">
      <alignment horizontal="center"/>
    </xf>
    <xf numFmtId="169" fontId="4" fillId="0" borderId="0" xfId="0" applyNumberFormat="1" applyFont="1" applyFill="1" applyAlignment="1" applyProtection="1">
      <alignment horizontal="center"/>
    </xf>
    <xf numFmtId="164" fontId="9" fillId="0" borderId="0" xfId="2" applyNumberFormat="1" applyFont="1" applyAlignment="1">
      <alignment horizontal="center" vertical="center"/>
    </xf>
    <xf numFmtId="0" fontId="7" fillId="0" borderId="0" xfId="0" applyFont="1" applyAlignment="1">
      <alignment horizontal="center"/>
    </xf>
    <xf numFmtId="170" fontId="4" fillId="0" borderId="0" xfId="0" applyNumberFormat="1" applyFont="1" applyFill="1" applyAlignment="1" applyProtection="1">
      <alignment horizontal="center"/>
    </xf>
    <xf numFmtId="171" fontId="4" fillId="0" borderId="0" xfId="0" applyNumberFormat="1" applyFont="1" applyFill="1" applyAlignment="1" applyProtection="1">
      <alignment horizontal="center"/>
    </xf>
    <xf numFmtId="0" fontId="4" fillId="0" borderId="0" xfId="2" applyFont="1" applyAlignment="1" applyProtection="1">
      <alignment horizontal="center" vertical="center"/>
      <protection locked="0"/>
    </xf>
    <xf numFmtId="0" fontId="6" fillId="0" borderId="0" xfId="2" applyFont="1" applyAlignment="1">
      <alignment horizontal="center" vertical="center"/>
    </xf>
    <xf numFmtId="0" fontId="6" fillId="0" borderId="6" xfId="2" applyFont="1" applyBorder="1" applyAlignment="1">
      <alignment horizontal="center" vertical="center"/>
    </xf>
    <xf numFmtId="0" fontId="15" fillId="0" borderId="0" xfId="2" applyFont="1" applyBorder="1" applyAlignment="1">
      <alignment horizontal="left" vertical="center"/>
    </xf>
    <xf numFmtId="0" fontId="3" fillId="0" borderId="0" xfId="2" applyFont="1" applyAlignment="1">
      <alignment horizontal="center" vertical="center"/>
    </xf>
    <xf numFmtId="0" fontId="12" fillId="0" borderId="0" xfId="0" applyFont="1" applyFill="1" applyAlignment="1" applyProtection="1">
      <alignment horizontal="left" indent="1"/>
    </xf>
    <xf numFmtId="0" fontId="12" fillId="0" borderId="0" xfId="0" applyFont="1" applyFill="1" applyAlignment="1" applyProtection="1">
      <alignment horizontal="left" indent="2"/>
    </xf>
    <xf numFmtId="0" fontId="16" fillId="0" borderId="0" xfId="0" applyFont="1" applyFill="1" applyAlignment="1" applyProtection="1">
      <alignment horizontal="left" indent="2"/>
    </xf>
    <xf numFmtId="0" fontId="16" fillId="0" borderId="0" xfId="0" applyFont="1" applyFill="1" applyAlignment="1" applyProtection="1">
      <alignment horizontal="left" indent="3"/>
    </xf>
    <xf numFmtId="0" fontId="12" fillId="0" borderId="0" xfId="0" applyFont="1" applyFill="1" applyAlignment="1" applyProtection="1">
      <alignment horizontal="left" indent="4"/>
    </xf>
    <xf numFmtId="0" fontId="12" fillId="0" borderId="0" xfId="0" applyFont="1" applyFill="1" applyAlignment="1" applyProtection="1">
      <alignment horizontal="left"/>
    </xf>
    <xf numFmtId="3" fontId="12" fillId="0" borderId="16" xfId="0" applyNumberFormat="1" applyFont="1" applyFill="1" applyBorder="1" applyAlignment="1" applyProtection="1">
      <alignment horizontal="center"/>
    </xf>
    <xf numFmtId="172" fontId="12" fillId="0" borderId="6" xfId="0" applyNumberFormat="1" applyFont="1" applyFill="1" applyBorder="1" applyAlignment="1" applyProtection="1">
      <alignment horizontal="center"/>
    </xf>
    <xf numFmtId="0" fontId="0" fillId="0" borderId="0" xfId="0" applyAlignment="1">
      <alignment horizontal="center"/>
    </xf>
    <xf numFmtId="0" fontId="16" fillId="0" borderId="0" xfId="0" applyFont="1" applyFill="1" applyBorder="1" applyAlignment="1" applyProtection="1">
      <alignment horizontal="left" indent="2"/>
    </xf>
    <xf numFmtId="0" fontId="12" fillId="0" borderId="0" xfId="0" applyFont="1" applyFill="1" applyBorder="1" applyAlignment="1" applyProtection="1">
      <alignment horizontal="left" indent="1"/>
    </xf>
    <xf numFmtId="0" fontId="12" fillId="0" borderId="0" xfId="0" applyFont="1" applyFill="1" applyBorder="1" applyAlignment="1" applyProtection="1">
      <alignment horizontal="left" indent="2"/>
    </xf>
    <xf numFmtId="0" fontId="16" fillId="0" borderId="0" xfId="0" applyFont="1" applyFill="1" applyBorder="1" applyAlignment="1" applyProtection="1">
      <alignment horizontal="left" indent="3"/>
    </xf>
    <xf numFmtId="172" fontId="12" fillId="0" borderId="0" xfId="0" applyNumberFormat="1" applyFont="1" applyFill="1" applyBorder="1" applyAlignment="1" applyProtection="1">
      <alignment horizontal="right"/>
    </xf>
    <xf numFmtId="0" fontId="0" fillId="0" borderId="0" xfId="0" applyFont="1" applyBorder="1"/>
    <xf numFmtId="0" fontId="12" fillId="0" borderId="0" xfId="0" applyFont="1" applyFill="1" applyBorder="1" applyAlignment="1" applyProtection="1">
      <alignment horizontal="left" indent="3"/>
    </xf>
    <xf numFmtId="0" fontId="16" fillId="0" borderId="0" xfId="0" applyFont="1" applyFill="1" applyBorder="1" applyAlignment="1" applyProtection="1">
      <alignment horizontal="left" indent="4"/>
    </xf>
    <xf numFmtId="0" fontId="16" fillId="0" borderId="0" xfId="0" applyFont="1" applyFill="1" applyAlignment="1" applyProtection="1"/>
    <xf numFmtId="0" fontId="16" fillId="0" borderId="0" xfId="0" applyFont="1" applyFill="1" applyAlignment="1" applyProtection="1">
      <alignment horizontal="right"/>
    </xf>
    <xf numFmtId="0" fontId="15" fillId="0" borderId="0" xfId="0" applyFont="1" applyFill="1" applyAlignment="1" applyProtection="1"/>
    <xf numFmtId="0" fontId="13" fillId="0" borderId="0" xfId="0" applyFont="1" applyFill="1" applyAlignment="1" applyProtection="1">
      <alignment horizontal="left"/>
    </xf>
    <xf numFmtId="0" fontId="3" fillId="0" borderId="0" xfId="2" applyFont="1" applyAlignment="1">
      <alignment horizontal="left" vertical="center" indent="1"/>
    </xf>
    <xf numFmtId="0" fontId="12" fillId="0" borderId="0" xfId="0" applyFont="1" applyFill="1" applyAlignment="1" applyProtection="1">
      <alignment horizontal="left" indent="3"/>
    </xf>
    <xf numFmtId="0" fontId="3" fillId="0" borderId="0" xfId="2" applyFont="1" applyAlignment="1">
      <alignment horizontal="left" vertical="center" indent="3"/>
    </xf>
    <xf numFmtId="0" fontId="3" fillId="0" borderId="0" xfId="2" applyFont="1" applyAlignment="1">
      <alignment horizontal="left" vertical="center" indent="4"/>
    </xf>
    <xf numFmtId="0" fontId="16" fillId="0" borderId="0" xfId="0" applyFont="1" applyFill="1" applyBorder="1" applyAlignment="1" applyProtection="1">
      <alignment horizontal="left" indent="5"/>
    </xf>
    <xf numFmtId="0" fontId="12" fillId="0" borderId="0" xfId="0" applyFont="1" applyFill="1" applyAlignment="1" applyProtection="1">
      <alignment horizontal="left" indent="6"/>
    </xf>
    <xf numFmtId="0" fontId="16" fillId="0" borderId="0" xfId="0" applyFont="1" applyFill="1" applyAlignment="1" applyProtection="1">
      <alignment horizontal="left" indent="5"/>
    </xf>
    <xf numFmtId="0" fontId="4" fillId="0" borderId="0" xfId="2" applyFont="1" applyBorder="1" applyAlignment="1">
      <alignment horizontal="left" vertical="center" indent="1"/>
    </xf>
    <xf numFmtId="0" fontId="13" fillId="0" borderId="0" xfId="0" applyFont="1" applyFill="1" applyAlignment="1" applyProtection="1">
      <alignment horizontal="left" indent="5"/>
    </xf>
    <xf numFmtId="0" fontId="0" fillId="0" borderId="0" xfId="0" applyFont="1" applyAlignment="1"/>
    <xf numFmtId="169" fontId="12" fillId="0" borderId="0" xfId="0" applyNumberFormat="1" applyFont="1" applyFill="1" applyAlignment="1" applyProtection="1"/>
    <xf numFmtId="172" fontId="12" fillId="0" borderId="0" xfId="0" applyNumberFormat="1" applyFont="1" applyFill="1" applyAlignment="1" applyProtection="1"/>
    <xf numFmtId="169" fontId="0" fillId="0" borderId="0" xfId="0" applyNumberFormat="1" applyFont="1"/>
    <xf numFmtId="0" fontId="16" fillId="0" borderId="0" xfId="0" applyFont="1"/>
    <xf numFmtId="6" fontId="16" fillId="0" borderId="0" xfId="0" applyNumberFormat="1" applyFont="1"/>
    <xf numFmtId="10" fontId="16" fillId="0" borderId="0" xfId="0" applyNumberFormat="1" applyFont="1"/>
    <xf numFmtId="169" fontId="16" fillId="0" borderId="0" xfId="0" applyNumberFormat="1" applyFont="1"/>
    <xf numFmtId="1" fontId="16" fillId="0" borderId="0" xfId="0" applyNumberFormat="1" applyFont="1" applyFill="1" applyAlignment="1" applyProtection="1">
      <alignment horizontal="center"/>
    </xf>
    <xf numFmtId="0" fontId="16" fillId="0" borderId="0" xfId="0" applyFont="1" applyAlignment="1">
      <alignment horizontal="center"/>
    </xf>
    <xf numFmtId="0" fontId="16" fillId="0" borderId="0" xfId="0" applyFont="1" applyAlignment="1">
      <alignment horizontal="left" indent="1"/>
    </xf>
    <xf numFmtId="0" fontId="16" fillId="0" borderId="0" xfId="0" applyFont="1" applyAlignment="1">
      <alignment horizontal="left" indent="2"/>
    </xf>
    <xf numFmtId="172" fontId="16" fillId="0" borderId="0" xfId="0" applyNumberFormat="1" applyFont="1"/>
    <xf numFmtId="0" fontId="16" fillId="0" borderId="0" xfId="0" applyFont="1" applyAlignment="1">
      <alignment horizontal="left" indent="4"/>
    </xf>
    <xf numFmtId="0" fontId="16" fillId="0" borderId="0" xfId="0" applyFont="1" applyAlignment="1">
      <alignment horizontal="left" indent="5"/>
    </xf>
    <xf numFmtId="8" fontId="16" fillId="0" borderId="0" xfId="0" applyNumberFormat="1" applyFont="1"/>
    <xf numFmtId="172" fontId="16" fillId="0" borderId="0" xfId="0" applyNumberFormat="1" applyFont="1" applyAlignment="1">
      <alignment horizontal="center"/>
    </xf>
    <xf numFmtId="0" fontId="15" fillId="0" borderId="0" xfId="0" applyFont="1" applyFill="1" applyAlignment="1" applyProtection="1">
      <alignment horizontal="left"/>
    </xf>
    <xf numFmtId="0" fontId="12" fillId="0" borderId="0" xfId="2" applyFont="1" applyBorder="1" applyAlignment="1">
      <alignment horizontal="left" vertical="center"/>
    </xf>
    <xf numFmtId="0" fontId="4" fillId="0" borderId="0" xfId="2" applyFont="1" applyBorder="1" applyAlignment="1">
      <alignment horizontal="left" vertical="center" indent="2"/>
    </xf>
    <xf numFmtId="1" fontId="12" fillId="0" borderId="0" xfId="0" applyNumberFormat="1" applyFont="1" applyFill="1" applyAlignment="1" applyProtection="1"/>
    <xf numFmtId="0" fontId="11" fillId="0" borderId="0" xfId="2" applyFont="1">
      <alignment vertical="center"/>
    </xf>
    <xf numFmtId="6" fontId="4" fillId="0" borderId="0" xfId="2" applyNumberFormat="1" applyFont="1" applyProtection="1">
      <alignment vertical="center"/>
      <protection locked="0"/>
    </xf>
    <xf numFmtId="9" fontId="3" fillId="0" borderId="0" xfId="1" applyFont="1" applyAlignment="1">
      <alignment vertical="center"/>
    </xf>
    <xf numFmtId="173" fontId="4" fillId="0" borderId="0" xfId="1" applyNumberFormat="1" applyFont="1" applyAlignment="1" applyProtection="1">
      <alignment horizontal="center" vertical="center"/>
      <protection locked="0"/>
    </xf>
    <xf numFmtId="173" fontId="3" fillId="0" borderId="0" xfId="1" applyNumberFormat="1" applyFont="1" applyAlignment="1">
      <alignment horizontal="center" vertical="center"/>
    </xf>
    <xf numFmtId="0" fontId="12" fillId="0" borderId="0" xfId="0" applyFont="1" applyFill="1" applyAlignment="1" applyProtection="1">
      <alignment horizontal="center" vertical="center" wrapText="1"/>
    </xf>
    <xf numFmtId="6" fontId="12" fillId="0" borderId="0" xfId="0" applyNumberFormat="1" applyFont="1" applyFill="1" applyAlignment="1" applyProtection="1">
      <alignment horizontal="center"/>
    </xf>
    <xf numFmtId="0" fontId="0" fillId="0" borderId="0" xfId="0" applyAlignment="1">
      <alignment horizontal="center"/>
    </xf>
    <xf numFmtId="0" fontId="0" fillId="0" borderId="0" xfId="0" applyAlignment="1">
      <alignment horizontal="left" indent="2"/>
    </xf>
    <xf numFmtId="0" fontId="20" fillId="0" borderId="0" xfId="0" applyFont="1" applyFill="1" applyAlignment="1" applyProtection="1">
      <alignment horizontal="right"/>
    </xf>
    <xf numFmtId="0" fontId="20" fillId="0" borderId="0" xfId="0" applyFont="1" applyFill="1" applyAlignment="1" applyProtection="1"/>
    <xf numFmtId="0" fontId="3" fillId="0" borderId="0" xfId="2" applyFont="1" applyFill="1" applyAlignment="1">
      <alignment horizontal="left" vertical="center"/>
    </xf>
    <xf numFmtId="0" fontId="3" fillId="0" borderId="0" xfId="2" applyFont="1" applyAlignment="1">
      <alignment horizontal="left" vertical="center" indent="2"/>
    </xf>
    <xf numFmtId="0" fontId="12" fillId="0" borderId="0" xfId="0" applyFont="1" applyFill="1" applyBorder="1" applyAlignment="1" applyProtection="1">
      <alignment horizontal="left"/>
    </xf>
    <xf numFmtId="172" fontId="12" fillId="0" borderId="0" xfId="0" applyNumberFormat="1" applyFont="1" applyFill="1" applyBorder="1" applyAlignment="1" applyProtection="1">
      <alignment horizontal="center"/>
    </xf>
    <xf numFmtId="0" fontId="0" fillId="0" borderId="0" xfId="0" applyAlignment="1">
      <alignment horizontal="left" indent="3"/>
    </xf>
    <xf numFmtId="0" fontId="0" fillId="0" borderId="0" xfId="0" applyAlignment="1">
      <alignment horizontal="left" indent="4"/>
    </xf>
    <xf numFmtId="0" fontId="0" fillId="0" borderId="0" xfId="0" applyFont="1" applyAlignment="1">
      <alignment horizontal="center"/>
    </xf>
    <xf numFmtId="169" fontId="15" fillId="0" borderId="0" xfId="0" applyNumberFormat="1" applyFont="1" applyFill="1" applyAlignment="1" applyProtection="1">
      <alignment horizontal="center"/>
    </xf>
    <xf numFmtId="169" fontId="12" fillId="0" borderId="0" xfId="0" applyNumberFormat="1" applyFont="1" applyFill="1" applyBorder="1" applyAlignment="1" applyProtection="1">
      <alignment horizontal="center"/>
    </xf>
    <xf numFmtId="3" fontId="0" fillId="0" borderId="0" xfId="0" applyNumberFormat="1" applyFont="1" applyBorder="1" applyAlignment="1">
      <alignment horizontal="center"/>
    </xf>
    <xf numFmtId="0" fontId="12" fillId="0" borderId="0" xfId="0" applyFont="1" applyFill="1" applyBorder="1" applyAlignment="1" applyProtection="1">
      <alignment horizontal="center"/>
    </xf>
    <xf numFmtId="0" fontId="0" fillId="0" borderId="0" xfId="0" applyFont="1" applyBorder="1" applyAlignment="1">
      <alignment horizontal="center"/>
    </xf>
    <xf numFmtId="0" fontId="3" fillId="0" borderId="0" xfId="2" applyFont="1" applyBorder="1" applyAlignment="1">
      <alignment horizontal="center" vertical="center"/>
    </xf>
    <xf numFmtId="3" fontId="12" fillId="0" borderId="0" xfId="0" applyNumberFormat="1" applyFont="1" applyFill="1" applyBorder="1" applyAlignment="1" applyProtection="1">
      <alignment horizontal="center"/>
    </xf>
    <xf numFmtId="172" fontId="15" fillId="0" borderId="0" xfId="0" applyNumberFormat="1" applyFont="1" applyFill="1" applyBorder="1" applyAlignment="1" applyProtection="1">
      <alignment horizontal="center"/>
    </xf>
    <xf numFmtId="0" fontId="4" fillId="0" borderId="0" xfId="2" applyFont="1" applyBorder="1" applyAlignment="1" applyProtection="1">
      <alignment horizontal="center" vertical="center"/>
      <protection locked="0"/>
    </xf>
    <xf numFmtId="169" fontId="16" fillId="0" borderId="0" xfId="0" applyNumberFormat="1" applyFont="1" applyFill="1" applyAlignment="1" applyProtection="1">
      <alignment horizontal="center"/>
    </xf>
    <xf numFmtId="172" fontId="16" fillId="0" borderId="0" xfId="0" applyNumberFormat="1" applyFont="1" applyFill="1" applyAlignment="1" applyProtection="1">
      <alignment horizontal="center"/>
    </xf>
    <xf numFmtId="0" fontId="16" fillId="0" borderId="0" xfId="0" applyFont="1" applyFill="1" applyAlignment="1" applyProtection="1">
      <alignment horizontal="center"/>
    </xf>
    <xf numFmtId="0" fontId="14" fillId="0" borderId="0" xfId="2" applyFont="1" applyAlignment="1">
      <alignment horizontal="center" vertical="center"/>
    </xf>
    <xf numFmtId="3" fontId="3" fillId="0" borderId="0" xfId="2" applyNumberFormat="1" applyFont="1">
      <alignment vertical="center"/>
    </xf>
    <xf numFmtId="169" fontId="3" fillId="0" borderId="0" xfId="2" applyNumberFormat="1" applyFont="1">
      <alignment vertical="center"/>
    </xf>
    <xf numFmtId="169" fontId="3" fillId="0" borderId="0" xfId="2" applyNumberFormat="1" applyFont="1" applyAlignment="1">
      <alignment horizontal="center" vertical="center"/>
    </xf>
    <xf numFmtId="0" fontId="8" fillId="0" borderId="0" xfId="2" applyFont="1" applyAlignment="1" applyProtection="1">
      <alignment horizontal="center" vertical="center"/>
      <protection locked="0"/>
    </xf>
    <xf numFmtId="0" fontId="16" fillId="0" borderId="0" xfId="0" applyFont="1" applyFill="1" applyAlignment="1" applyProtection="1">
      <alignment horizontal="left" vertical="center" wrapText="1" indent="2"/>
    </xf>
    <xf numFmtId="0" fontId="4" fillId="0" borderId="0" xfId="2" applyFont="1" applyBorder="1" applyAlignment="1">
      <alignment horizontal="left" vertical="center" indent="3"/>
    </xf>
    <xf numFmtId="0" fontId="6" fillId="0" borderId="0" xfId="2" applyFont="1" applyBorder="1" applyAlignment="1">
      <alignment horizontal="center" vertical="center"/>
    </xf>
    <xf numFmtId="0" fontId="2" fillId="0" borderId="0" xfId="0" applyFont="1" applyAlignment="1">
      <alignment horizontal="center"/>
    </xf>
    <xf numFmtId="0" fontId="16" fillId="0" borderId="0" xfId="0" applyFont="1" applyFill="1" applyAlignment="1" applyProtection="1">
      <alignment horizontal="left"/>
    </xf>
    <xf numFmtId="0" fontId="0" fillId="0" borderId="0" xfId="0" applyAlignment="1">
      <alignment horizontal="center"/>
    </xf>
    <xf numFmtId="0" fontId="21" fillId="0" borderId="0" xfId="0" applyFont="1"/>
    <xf numFmtId="1" fontId="8" fillId="0" borderId="6" xfId="0" applyNumberFormat="1" applyFont="1" applyFill="1" applyBorder="1" applyAlignment="1" applyProtection="1">
      <alignment horizontal="center"/>
    </xf>
    <xf numFmtId="9" fontId="0" fillId="0" borderId="0" xfId="1" applyFont="1" applyAlignment="1">
      <alignment horizontal="center"/>
    </xf>
    <xf numFmtId="9" fontId="0" fillId="0" borderId="0" xfId="1" applyNumberFormat="1" applyFont="1" applyAlignment="1">
      <alignment horizontal="center"/>
    </xf>
    <xf numFmtId="1" fontId="0" fillId="0" borderId="0" xfId="0" applyNumberFormat="1" applyAlignment="1">
      <alignment horizontal="center"/>
    </xf>
    <xf numFmtId="1" fontId="9" fillId="0" borderId="0" xfId="2" applyNumberFormat="1" applyFont="1" applyAlignment="1">
      <alignment horizontal="center" vertical="center"/>
    </xf>
    <xf numFmtId="9" fontId="9" fillId="0" borderId="0" xfId="1" applyFont="1" applyAlignment="1">
      <alignment horizontal="center" vertical="center"/>
    </xf>
    <xf numFmtId="0" fontId="0" fillId="0" borderId="0" xfId="0" applyAlignment="1">
      <alignment horizontal="center"/>
    </xf>
    <xf numFmtId="172" fontId="14" fillId="0" borderId="0" xfId="2" applyNumberFormat="1" applyFont="1">
      <alignment vertical="center"/>
    </xf>
    <xf numFmtId="0" fontId="0" fillId="0" borderId="0" xfId="0" applyAlignment="1">
      <alignment horizontal="center" wrapText="1"/>
    </xf>
    <xf numFmtId="0" fontId="0" fillId="0" borderId="0" xfId="0" applyAlignment="1">
      <alignment horizontal="center" vertical="center" wrapText="1"/>
    </xf>
    <xf numFmtId="14" fontId="0" fillId="0" borderId="0" xfId="0" applyNumberFormat="1" applyAlignment="1">
      <alignment horizontal="center"/>
    </xf>
    <xf numFmtId="0" fontId="0" fillId="0" borderId="0" xfId="0" applyAlignment="1">
      <alignment horizontal="left" vertical="center" wrapText="1" indent="1"/>
    </xf>
    <xf numFmtId="0" fontId="0" fillId="0" borderId="0" xfId="0" applyAlignment="1">
      <alignment horizontal="center"/>
    </xf>
    <xf numFmtId="0" fontId="12" fillId="0" borderId="0" xfId="0" applyFont="1" applyFill="1" applyAlignment="1" applyProtection="1">
      <alignment wrapText="1"/>
    </xf>
    <xf numFmtId="169" fontId="0" fillId="0" borderId="0" xfId="0" applyNumberFormat="1"/>
    <xf numFmtId="172" fontId="0" fillId="0" borderId="0" xfId="0" applyNumberFormat="1" applyAlignment="1">
      <alignment horizontal="center"/>
    </xf>
    <xf numFmtId="169" fontId="0" fillId="0" borderId="0" xfId="0" applyNumberFormat="1" applyAlignment="1">
      <alignment horizontal="center"/>
    </xf>
    <xf numFmtId="14" fontId="12" fillId="0" borderId="0" xfId="0" applyNumberFormat="1" applyFont="1" applyFill="1" applyAlignment="1" applyProtection="1">
      <alignment horizontal="center"/>
    </xf>
    <xf numFmtId="9" fontId="12" fillId="0" borderId="0" xfId="0" applyNumberFormat="1" applyFont="1" applyFill="1" applyAlignment="1" applyProtection="1">
      <alignment horizontal="center"/>
    </xf>
    <xf numFmtId="10" fontId="12" fillId="0" borderId="0" xfId="0" applyNumberFormat="1" applyFont="1" applyFill="1" applyAlignment="1" applyProtection="1">
      <alignment horizontal="center"/>
    </xf>
    <xf numFmtId="0" fontId="0" fillId="0" borderId="0" xfId="0" applyAlignment="1">
      <alignment horizontal="left" vertical="center" wrapText="1"/>
    </xf>
    <xf numFmtId="172" fontId="14" fillId="0" borderId="0" xfId="2" applyNumberFormat="1" applyFont="1" applyAlignment="1">
      <alignment horizontal="center" vertical="center"/>
    </xf>
    <xf numFmtId="1" fontId="15" fillId="0" borderId="0" xfId="0" applyNumberFormat="1" applyFont="1" applyFill="1" applyAlignment="1" applyProtection="1">
      <alignment horizontal="center"/>
    </xf>
    <xf numFmtId="0" fontId="0" fillId="0" borderId="0" xfId="0" applyAlignment="1">
      <alignment horizontal="center"/>
    </xf>
    <xf numFmtId="172" fontId="3" fillId="0" borderId="0" xfId="2" applyNumberFormat="1" applyFont="1">
      <alignment vertical="center"/>
    </xf>
    <xf numFmtId="3" fontId="12" fillId="0" borderId="0" xfId="2" applyNumberFormat="1" applyFont="1" applyProtection="1">
      <alignment vertical="center"/>
      <protection locked="0"/>
    </xf>
    <xf numFmtId="0" fontId="0" fillId="0" borderId="0" xfId="0" applyAlignment="1">
      <alignment horizontal="center"/>
    </xf>
    <xf numFmtId="0" fontId="15" fillId="0" borderId="0" xfId="0" applyFont="1" applyFill="1" applyAlignment="1" applyProtection="1">
      <alignment horizontal="center"/>
    </xf>
    <xf numFmtId="0" fontId="22" fillId="0" borderId="0" xfId="0" applyFont="1" applyFill="1" applyAlignment="1" applyProtection="1"/>
    <xf numFmtId="0" fontId="14" fillId="7" borderId="0" xfId="2" applyFont="1" applyFill="1">
      <alignment vertical="center"/>
    </xf>
    <xf numFmtId="167" fontId="0" fillId="0" borderId="0" xfId="0" applyNumberFormat="1" applyAlignment="1">
      <alignment horizontal="center"/>
    </xf>
    <xf numFmtId="174" fontId="12" fillId="0" borderId="0" xfId="0" applyNumberFormat="1" applyFont="1" applyFill="1" applyAlignment="1" applyProtection="1">
      <alignment horizontal="right"/>
    </xf>
    <xf numFmtId="170" fontId="12" fillId="0" borderId="0" xfId="0" applyNumberFormat="1" applyFont="1" applyFill="1" applyAlignment="1" applyProtection="1">
      <alignment horizontal="right"/>
    </xf>
    <xf numFmtId="0" fontId="0" fillId="0" borderId="0" xfId="0" applyAlignment="1">
      <alignment horizontal="center"/>
    </xf>
    <xf numFmtId="172" fontId="12" fillId="6" borderId="0" xfId="0" applyNumberFormat="1" applyFont="1" applyFill="1" applyBorder="1" applyAlignment="1" applyProtection="1">
      <alignment horizontal="center"/>
    </xf>
    <xf numFmtId="169" fontId="4" fillId="0" borderId="0" xfId="2" applyNumberFormat="1" applyFont="1" applyAlignment="1" applyProtection="1">
      <alignment horizontal="center" vertical="center"/>
      <protection locked="0"/>
    </xf>
    <xf numFmtId="0" fontId="0" fillId="0" borderId="0" xfId="0" applyAlignment="1">
      <alignment horizontal="left" wrapText="1"/>
    </xf>
    <xf numFmtId="0" fontId="0" fillId="0" borderId="0" xfId="0" applyAlignment="1">
      <alignment horizontal="center"/>
    </xf>
    <xf numFmtId="0" fontId="0" fillId="0" borderId="0" xfId="0" applyAlignment="1">
      <alignment horizontal="left" wrapText="1" indent="1"/>
    </xf>
    <xf numFmtId="169" fontId="23" fillId="0" borderId="0" xfId="0" applyNumberFormat="1" applyFont="1" applyFill="1" applyAlignment="1" applyProtection="1">
      <alignment horizontal="center"/>
    </xf>
    <xf numFmtId="175" fontId="9" fillId="0" borderId="0" xfId="2" applyNumberFormat="1" applyFont="1" applyAlignment="1">
      <alignment horizontal="center" vertical="center"/>
    </xf>
    <xf numFmtId="167" fontId="6" fillId="0" borderId="0" xfId="2" applyNumberFormat="1" applyFont="1" applyAlignment="1">
      <alignment horizontal="center" vertical="center"/>
    </xf>
    <xf numFmtId="1" fontId="6" fillId="0" borderId="0" xfId="2" applyNumberFormat="1" applyFont="1" applyAlignment="1">
      <alignment horizontal="center" vertical="center"/>
    </xf>
    <xf numFmtId="173" fontId="6" fillId="0" borderId="0" xfId="1" applyNumberFormat="1" applyFont="1" applyAlignment="1">
      <alignment horizontal="center" vertical="center"/>
    </xf>
    <xf numFmtId="1" fontId="6" fillId="0" borderId="6" xfId="2" applyNumberFormat="1" applyFont="1" applyBorder="1" applyAlignment="1">
      <alignment horizontal="center" vertical="center"/>
    </xf>
    <xf numFmtId="1" fontId="11" fillId="0" borderId="0" xfId="2" applyNumberFormat="1" applyFont="1" applyAlignment="1">
      <alignment horizontal="center" vertical="center"/>
    </xf>
    <xf numFmtId="167" fontId="6" fillId="0" borderId="0" xfId="2" applyNumberFormat="1" applyFont="1" applyBorder="1" applyAlignment="1">
      <alignment horizontal="center" vertical="center"/>
    </xf>
    <xf numFmtId="1" fontId="6" fillId="0" borderId="13" xfId="2" applyNumberFormat="1" applyFont="1" applyBorder="1" applyAlignment="1">
      <alignment horizontal="center" vertical="center"/>
    </xf>
    <xf numFmtId="0" fontId="0" fillId="0" borderId="0" xfId="0" applyAlignment="1">
      <alignment horizontal="center"/>
    </xf>
    <xf numFmtId="1" fontId="12" fillId="0" borderId="0" xfId="0" applyNumberFormat="1" applyFont="1" applyFill="1" applyBorder="1" applyAlignment="1" applyProtection="1">
      <alignment horizontal="center"/>
    </xf>
    <xf numFmtId="1" fontId="0" fillId="0" borderId="0" xfId="0" applyNumberFormat="1" applyFont="1" applyBorder="1" applyAlignment="1">
      <alignment horizontal="center"/>
    </xf>
    <xf numFmtId="1" fontId="3" fillId="0" borderId="0" xfId="2" applyNumberFormat="1" applyFont="1" applyAlignment="1">
      <alignment horizontal="center" vertical="center"/>
    </xf>
    <xf numFmtId="9" fontId="3" fillId="0" borderId="0" xfId="1" applyFont="1" applyAlignment="1">
      <alignment horizontal="center" vertical="center"/>
    </xf>
    <xf numFmtId="172" fontId="3" fillId="0" borderId="0" xfId="2" applyNumberFormat="1" applyFont="1" applyAlignment="1">
      <alignment horizontal="center" vertical="center"/>
    </xf>
    <xf numFmtId="0" fontId="3" fillId="0" borderId="0" xfId="2" applyFont="1" applyAlignment="1">
      <alignment horizontal="left" vertical="center"/>
    </xf>
    <xf numFmtId="169" fontId="3" fillId="0" borderId="0" xfId="2" applyNumberFormat="1" applyFont="1" applyAlignment="1">
      <alignment horizontal="left" vertical="center"/>
    </xf>
    <xf numFmtId="172" fontId="3" fillId="0" borderId="0" xfId="2" applyNumberFormat="1" applyFont="1" applyAlignment="1">
      <alignment horizontal="left" vertical="center"/>
    </xf>
    <xf numFmtId="1" fontId="4" fillId="0" borderId="0" xfId="2" applyNumberFormat="1" applyFont="1" applyAlignment="1" applyProtection="1">
      <alignment horizontal="center" vertical="center"/>
      <protection locked="0"/>
    </xf>
    <xf numFmtId="169" fontId="12" fillId="0" borderId="0" xfId="0" applyNumberFormat="1" applyFont="1" applyFill="1" applyAlignment="1" applyProtection="1">
      <alignment horizontal="left" indent="2"/>
    </xf>
    <xf numFmtId="8" fontId="0" fillId="0" borderId="0" xfId="0" applyNumberFormat="1" applyFont="1" applyAlignment="1">
      <alignment horizontal="center"/>
    </xf>
    <xf numFmtId="8" fontId="12" fillId="0" borderId="0" xfId="0" applyNumberFormat="1" applyFont="1" applyFill="1" applyAlignment="1" applyProtection="1">
      <alignment horizontal="center"/>
    </xf>
    <xf numFmtId="169" fontId="4" fillId="0" borderId="0" xfId="2" applyNumberFormat="1" applyFont="1" applyBorder="1" applyAlignment="1">
      <alignment horizontal="left" vertical="center"/>
    </xf>
    <xf numFmtId="167" fontId="16" fillId="0" borderId="0" xfId="0" applyNumberFormat="1" applyFont="1" applyAlignment="1">
      <alignment horizontal="center"/>
    </xf>
    <xf numFmtId="1" fontId="16" fillId="0" borderId="0" xfId="0" applyNumberFormat="1" applyFont="1" applyAlignment="1">
      <alignment horizontal="center"/>
    </xf>
    <xf numFmtId="2" fontId="6" fillId="0" borderId="0" xfId="2" applyNumberFormat="1" applyFont="1" applyAlignment="1">
      <alignment horizontal="center" vertical="center"/>
    </xf>
    <xf numFmtId="164" fontId="6" fillId="0" borderId="0" xfId="2" applyNumberFormat="1" applyFont="1" applyAlignment="1">
      <alignment horizontal="center" vertical="center"/>
    </xf>
    <xf numFmtId="0" fontId="24" fillId="0" borderId="0" xfId="2" applyFont="1" applyAlignment="1">
      <alignment horizontal="left" vertical="center"/>
    </xf>
    <xf numFmtId="0" fontId="0" fillId="5" borderId="0" xfId="0" applyFill="1" applyAlignment="1">
      <alignment horizontal="center"/>
    </xf>
    <xf numFmtId="0" fontId="0" fillId="0" borderId="0" xfId="0" applyAlignment="1">
      <alignment horizontal="center"/>
    </xf>
    <xf numFmtId="168" fontId="4" fillId="0" borderId="0" xfId="3" applyNumberFormat="1" applyFont="1" applyBorder="1" applyAlignment="1">
      <alignment horizontal="left" vertical="center"/>
    </xf>
    <xf numFmtId="168" fontId="4" fillId="0" borderId="0" xfId="4" applyNumberFormat="1" applyFont="1" applyBorder="1" applyAlignment="1">
      <alignment horizontal="left" vertical="center"/>
    </xf>
    <xf numFmtId="169" fontId="4" fillId="0" borderId="0" xfId="2" applyNumberFormat="1" applyFont="1" applyProtection="1">
      <alignment vertical="center"/>
      <protection locked="0"/>
    </xf>
    <xf numFmtId="10" fontId="3" fillId="0" borderId="0" xfId="1" applyNumberFormat="1" applyFont="1" applyAlignment="1">
      <alignment horizontal="center" vertical="center"/>
    </xf>
    <xf numFmtId="172" fontId="4" fillId="0" borderId="0" xfId="2" applyNumberFormat="1" applyFont="1" applyAlignment="1" applyProtection="1">
      <alignment horizontal="center" vertical="center"/>
      <protection locked="0"/>
    </xf>
    <xf numFmtId="1" fontId="14" fillId="0" borderId="0" xfId="2" applyNumberFormat="1" applyFont="1" applyAlignment="1">
      <alignment horizontal="center" vertical="center"/>
    </xf>
    <xf numFmtId="9" fontId="14" fillId="0" borderId="0" xfId="1" applyFont="1" applyAlignment="1">
      <alignment vertical="center"/>
    </xf>
    <xf numFmtId="1" fontId="14" fillId="0" borderId="0" xfId="2" applyNumberFormat="1" applyFont="1">
      <alignment vertical="center"/>
    </xf>
    <xf numFmtId="2" fontId="0" fillId="0" borderId="0" xfId="0" applyNumberFormat="1" applyAlignment="1">
      <alignment horizontal="center"/>
    </xf>
    <xf numFmtId="8" fontId="0" fillId="0" borderId="0" xfId="0" applyNumberFormat="1" applyAlignment="1">
      <alignment horizontal="center"/>
    </xf>
    <xf numFmtId="0" fontId="16" fillId="0" borderId="0" xfId="0" applyFont="1" applyFill="1" applyAlignment="1" applyProtection="1">
      <alignment horizontal="left" indent="4"/>
    </xf>
    <xf numFmtId="0" fontId="16" fillId="0" borderId="0" xfId="0" applyFont="1" applyFill="1" applyAlignment="1" applyProtection="1">
      <alignment horizontal="left" indent="1"/>
    </xf>
    <xf numFmtId="169" fontId="16" fillId="0" borderId="0" xfId="0" applyNumberFormat="1" applyFont="1" applyAlignment="1">
      <alignment horizontal="center"/>
    </xf>
    <xf numFmtId="10" fontId="16" fillId="0" borderId="0" xfId="0" applyNumberFormat="1" applyFont="1" applyAlignment="1">
      <alignment horizontal="center"/>
    </xf>
    <xf numFmtId="9" fontId="16" fillId="0" borderId="0" xfId="1" applyFont="1" applyAlignment="1">
      <alignment horizontal="center"/>
    </xf>
    <xf numFmtId="8" fontId="3" fillId="0" borderId="0" xfId="2" applyNumberFormat="1" applyFont="1" applyAlignment="1">
      <alignment horizontal="center" vertical="center"/>
    </xf>
    <xf numFmtId="0" fontId="0" fillId="0" borderId="0" xfId="0" applyAlignment="1">
      <alignment horizontal="center"/>
    </xf>
    <xf numFmtId="177" fontId="0" fillId="0" borderId="0" xfId="0" applyNumberFormat="1"/>
    <xf numFmtId="168" fontId="0" fillId="0" borderId="0" xfId="3" applyNumberFormat="1" applyFont="1"/>
    <xf numFmtId="164" fontId="0" fillId="0" borderId="0" xfId="0" applyNumberFormat="1"/>
    <xf numFmtId="0" fontId="12" fillId="0" borderId="0" xfId="2" applyFont="1" applyBorder="1" applyAlignment="1">
      <alignment horizontal="right" vertical="center"/>
    </xf>
    <xf numFmtId="9" fontId="12" fillId="0" borderId="0" xfId="1" applyFont="1" applyAlignment="1" applyProtection="1">
      <alignment vertical="center"/>
      <protection locked="0"/>
    </xf>
    <xf numFmtId="0" fontId="0" fillId="5" borderId="1" xfId="0" applyFill="1" applyBorder="1"/>
    <xf numFmtId="0" fontId="0" fillId="5" borderId="1" xfId="0" applyFill="1" applyBorder="1" applyAlignment="1">
      <alignment horizontal="center"/>
    </xf>
    <xf numFmtId="0" fontId="2" fillId="5" borderId="1" xfId="0" applyFont="1" applyFill="1" applyBorder="1" applyAlignment="1">
      <alignment horizontal="left"/>
    </xf>
    <xf numFmtId="0" fontId="28" fillId="8" borderId="1" xfId="5" applyFont="1" applyFill="1" applyBorder="1"/>
    <xf numFmtId="0" fontId="27" fillId="10" borderId="1" xfId="5" applyFill="1" applyBorder="1"/>
    <xf numFmtId="0" fontId="2" fillId="11" borderId="1" xfId="0" applyFont="1" applyFill="1" applyBorder="1"/>
    <xf numFmtId="0" fontId="25" fillId="12" borderId="1" xfId="5" applyFont="1" applyFill="1" applyBorder="1"/>
    <xf numFmtId="0" fontId="29" fillId="14" borderId="1" xfId="5" applyFont="1" applyFill="1" applyBorder="1"/>
    <xf numFmtId="0" fontId="30" fillId="4" borderId="1" xfId="5" applyFont="1" applyFill="1" applyBorder="1"/>
    <xf numFmtId="0" fontId="30" fillId="9" borderId="1" xfId="5" applyFont="1" applyFill="1" applyBorder="1"/>
    <xf numFmtId="0" fontId="30" fillId="13" borderId="1" xfId="5" applyFont="1" applyFill="1" applyBorder="1"/>
    <xf numFmtId="0" fontId="4" fillId="0" borderId="0" xfId="2" applyFont="1" applyAlignment="1" applyProtection="1">
      <alignment horizontal="left" vertical="center" indent="1"/>
      <protection locked="0"/>
    </xf>
    <xf numFmtId="0" fontId="9" fillId="0" borderId="0" xfId="2" applyFont="1" applyAlignment="1" applyProtection="1">
      <alignment horizontal="left" vertical="center" indent="1"/>
      <protection locked="0"/>
    </xf>
    <xf numFmtId="0" fontId="9" fillId="0" borderId="0" xfId="2" applyFont="1">
      <alignment vertical="center"/>
    </xf>
    <xf numFmtId="0" fontId="0" fillId="5" borderId="0" xfId="0" applyFill="1" applyAlignment="1">
      <alignment horizontal="center"/>
    </xf>
    <xf numFmtId="0" fontId="2" fillId="5" borderId="1" xfId="0" applyFont="1" applyFill="1" applyBorder="1" applyAlignment="1">
      <alignment horizontal="left" vertical="center"/>
    </xf>
    <xf numFmtId="168" fontId="0" fillId="0" borderId="0" xfId="0" applyNumberFormat="1"/>
    <xf numFmtId="0" fontId="27" fillId="0" borderId="0" xfId="5" applyFill="1" applyAlignment="1" applyProtection="1"/>
    <xf numFmtId="0" fontId="32" fillId="15" borderId="18" xfId="0" applyFont="1" applyFill="1" applyBorder="1" applyAlignment="1">
      <alignment horizontal="center" vertical="center" wrapText="1"/>
    </xf>
    <xf numFmtId="0" fontId="31" fillId="0" borderId="18" xfId="0" applyFont="1" applyBorder="1" applyAlignment="1">
      <alignment horizontal="center" vertical="center" wrapText="1"/>
    </xf>
    <xf numFmtId="14" fontId="31" fillId="0" borderId="18" xfId="0" applyNumberFormat="1" applyFont="1" applyBorder="1" applyAlignment="1">
      <alignment horizontal="center" vertical="center" wrapText="1"/>
    </xf>
    <xf numFmtId="3" fontId="31" fillId="0" borderId="18" xfId="0" applyNumberFormat="1" applyFont="1" applyBorder="1" applyAlignment="1">
      <alignment horizontal="center" vertical="center" wrapText="1"/>
    </xf>
    <xf numFmtId="9" fontId="4" fillId="0" borderId="0" xfId="2" applyNumberFormat="1" applyFont="1" applyAlignment="1" applyProtection="1">
      <alignment horizontal="center" vertical="center"/>
      <protection locked="0"/>
    </xf>
    <xf numFmtId="9" fontId="4" fillId="0" borderId="0" xfId="1" applyFont="1" applyAlignment="1" applyProtection="1">
      <alignment vertical="center"/>
      <protection locked="0"/>
    </xf>
    <xf numFmtId="10" fontId="4" fillId="0" borderId="0" xfId="1" applyNumberFormat="1" applyFont="1" applyAlignment="1" applyProtection="1">
      <alignment vertical="center"/>
      <protection locked="0"/>
    </xf>
    <xf numFmtId="0" fontId="4" fillId="0" borderId="0" xfId="2" applyFont="1" applyFill="1" applyBorder="1" applyAlignment="1">
      <alignment horizontal="left" vertical="center"/>
    </xf>
    <xf numFmtId="173" fontId="4" fillId="0" borderId="0" xfId="2" applyNumberFormat="1" applyFont="1" applyAlignment="1" applyProtection="1">
      <alignment horizontal="center" vertical="center"/>
      <protection locked="0"/>
    </xf>
    <xf numFmtId="1" fontId="0" fillId="0" borderId="1" xfId="0" applyNumberFormat="1" applyFont="1" applyBorder="1" applyAlignment="1">
      <alignment horizontal="center" vertical="center"/>
    </xf>
    <xf numFmtId="0" fontId="2" fillId="0" borderId="1" xfId="0" applyFont="1" applyBorder="1" applyAlignment="1">
      <alignment horizontal="left" vertical="center"/>
    </xf>
    <xf numFmtId="2" fontId="2" fillId="0" borderId="1" xfId="0" applyNumberFormat="1" applyFont="1" applyBorder="1" applyAlignment="1">
      <alignment horizontal="center" vertical="center"/>
    </xf>
    <xf numFmtId="9" fontId="0" fillId="0" borderId="1" xfId="1" applyFont="1" applyBorder="1" applyAlignment="1">
      <alignment horizontal="center" vertical="center"/>
    </xf>
    <xf numFmtId="9" fontId="2" fillId="0" borderId="1" xfId="1" applyFont="1" applyBorder="1" applyAlignment="1">
      <alignment horizontal="center" vertical="center"/>
    </xf>
    <xf numFmtId="0" fontId="0" fillId="5" borderId="0" xfId="0" applyFill="1" applyAlignment="1">
      <alignment horizontal="left"/>
    </xf>
    <xf numFmtId="0" fontId="0" fillId="5" borderId="0" xfId="0" applyFill="1" applyAlignment="1">
      <alignment horizontal="left" indent="1"/>
    </xf>
    <xf numFmtId="0" fontId="2" fillId="5" borderId="0" xfId="0" applyFont="1" applyFill="1" applyAlignment="1">
      <alignment horizontal="left"/>
    </xf>
    <xf numFmtId="167" fontId="2" fillId="5" borderId="0" xfId="0" applyNumberFormat="1" applyFont="1" applyFill="1" applyAlignment="1">
      <alignment horizontal="center"/>
    </xf>
    <xf numFmtId="0" fontId="5" fillId="4" borderId="0" xfId="0" applyFont="1" applyFill="1" applyAlignment="1">
      <alignment horizontal="center"/>
    </xf>
    <xf numFmtId="9" fontId="0" fillId="5" borderId="0" xfId="0" applyNumberFormat="1" applyFill="1"/>
    <xf numFmtId="2" fontId="0" fillId="5" borderId="0" xfId="0" applyNumberFormat="1" applyFill="1"/>
    <xf numFmtId="0" fontId="0" fillId="5" borderId="0" xfId="0" applyFill="1" applyBorder="1" applyAlignment="1">
      <alignment horizontal="left" vertical="center"/>
    </xf>
    <xf numFmtId="0" fontId="21" fillId="5" borderId="0" xfId="0" applyFont="1" applyFill="1"/>
    <xf numFmtId="0" fontId="0" fillId="5" borderId="1" xfId="0" applyFill="1" applyBorder="1" applyAlignment="1">
      <alignment horizontal="left" vertical="center"/>
    </xf>
    <xf numFmtId="0" fontId="12" fillId="5" borderId="0" xfId="0" applyFont="1" applyFill="1" applyAlignment="1" applyProtection="1"/>
    <xf numFmtId="0" fontId="2" fillId="5" borderId="1" xfId="0" applyFont="1" applyFill="1" applyBorder="1" applyAlignment="1">
      <alignment horizontal="center"/>
    </xf>
    <xf numFmtId="0" fontId="2" fillId="5" borderId="1" xfId="0" applyFont="1" applyFill="1" applyBorder="1"/>
    <xf numFmtId="0" fontId="33" fillId="5" borderId="23" xfId="0" applyFont="1" applyFill="1" applyBorder="1" applyAlignment="1">
      <alignment horizontal="center"/>
    </xf>
    <xf numFmtId="0" fontId="33" fillId="5" borderId="24" xfId="0" applyFont="1" applyFill="1" applyBorder="1" applyAlignment="1">
      <alignment horizontal="center"/>
    </xf>
    <xf numFmtId="0" fontId="33" fillId="5" borderId="24" xfId="0" applyFont="1" applyFill="1" applyBorder="1"/>
    <xf numFmtId="0" fontId="33" fillId="5" borderId="25" xfId="0" applyFont="1" applyFill="1" applyBorder="1"/>
    <xf numFmtId="1" fontId="0" fillId="5" borderId="1" xfId="0" applyNumberFormat="1" applyFill="1" applyBorder="1" applyAlignment="1">
      <alignment horizontal="center"/>
    </xf>
    <xf numFmtId="0" fontId="0" fillId="5" borderId="1" xfId="0" applyFill="1" applyBorder="1" applyAlignment="1">
      <alignment horizontal="left" indent="1"/>
    </xf>
    <xf numFmtId="0" fontId="0" fillId="5" borderId="1" xfId="0" applyFill="1" applyBorder="1" applyAlignment="1">
      <alignment horizontal="left"/>
    </xf>
    <xf numFmtId="167" fontId="0" fillId="5" borderId="1" xfId="0" applyNumberFormat="1" applyFill="1" applyBorder="1" applyAlignment="1">
      <alignment horizontal="center"/>
    </xf>
    <xf numFmtId="9" fontId="0" fillId="5" borderId="1" xfId="1" applyFont="1" applyFill="1" applyBorder="1" applyAlignment="1">
      <alignment horizontal="center"/>
    </xf>
    <xf numFmtId="2" fontId="0" fillId="5" borderId="1" xfId="0" applyNumberFormat="1" applyFill="1" applyBorder="1"/>
    <xf numFmtId="1" fontId="0" fillId="5" borderId="1" xfId="0" applyNumberFormat="1" applyFill="1" applyBorder="1"/>
    <xf numFmtId="177" fontId="0" fillId="5" borderId="1" xfId="0" applyNumberFormat="1" applyFill="1" applyBorder="1" applyAlignment="1">
      <alignment horizontal="center"/>
    </xf>
    <xf numFmtId="177" fontId="0" fillId="5" borderId="5" xfId="0" applyNumberFormat="1" applyFill="1" applyBorder="1" applyAlignment="1">
      <alignment horizontal="center"/>
    </xf>
    <xf numFmtId="2" fontId="2" fillId="5" borderId="19" xfId="0" applyNumberFormat="1" applyFont="1" applyFill="1" applyBorder="1" applyAlignment="1">
      <alignment horizontal="center"/>
    </xf>
    <xf numFmtId="2" fontId="0" fillId="5" borderId="1" xfId="0" applyNumberFormat="1" applyFill="1" applyBorder="1" applyAlignment="1">
      <alignment horizontal="center"/>
    </xf>
    <xf numFmtId="2" fontId="0" fillId="5" borderId="15" xfId="0" applyNumberFormat="1" applyFill="1" applyBorder="1" applyAlignment="1">
      <alignment horizontal="center"/>
    </xf>
    <xf numFmtId="0" fontId="0" fillId="5" borderId="3" xfId="0" applyFill="1" applyBorder="1" applyAlignment="1">
      <alignment horizontal="center"/>
    </xf>
    <xf numFmtId="2" fontId="0" fillId="5" borderId="17" xfId="0" applyNumberFormat="1" applyFill="1" applyBorder="1" applyAlignment="1">
      <alignment horizontal="center"/>
    </xf>
    <xf numFmtId="3" fontId="0" fillId="5" borderId="1" xfId="0" applyNumberFormat="1" applyFill="1" applyBorder="1"/>
    <xf numFmtId="0" fontId="12" fillId="5" borderId="1" xfId="0" applyFont="1" applyFill="1" applyBorder="1" applyAlignment="1" applyProtection="1"/>
    <xf numFmtId="0" fontId="0" fillId="5" borderId="0" xfId="0" applyFill="1" applyAlignment="1"/>
    <xf numFmtId="0" fontId="0" fillId="5" borderId="0" xfId="0" applyFill="1" applyBorder="1"/>
    <xf numFmtId="9" fontId="0" fillId="5" borderId="3" xfId="0" applyNumberFormat="1" applyFill="1" applyBorder="1" applyAlignment="1">
      <alignment horizontal="center"/>
    </xf>
    <xf numFmtId="10" fontId="0" fillId="5" borderId="1" xfId="0" applyNumberFormat="1" applyFill="1" applyBorder="1" applyAlignment="1">
      <alignment horizontal="center"/>
    </xf>
    <xf numFmtId="1" fontId="21" fillId="5" borderId="1" xfId="0" applyNumberFormat="1" applyFont="1" applyFill="1" applyBorder="1" applyAlignment="1">
      <alignment horizontal="center"/>
    </xf>
    <xf numFmtId="167" fontId="21" fillId="5" borderId="1" xfId="0" applyNumberFormat="1" applyFont="1" applyFill="1" applyBorder="1" applyAlignment="1">
      <alignment horizontal="center"/>
    </xf>
    <xf numFmtId="1" fontId="0" fillId="5" borderId="3" xfId="0" applyNumberFormat="1" applyFill="1" applyBorder="1" applyAlignment="1">
      <alignment horizontal="center"/>
    </xf>
    <xf numFmtId="1" fontId="0" fillId="5" borderId="15" xfId="0" applyNumberFormat="1" applyFill="1" applyBorder="1" applyAlignment="1">
      <alignment horizontal="center"/>
    </xf>
    <xf numFmtId="1" fontId="0" fillId="5" borderId="17" xfId="0" applyNumberFormat="1" applyFill="1" applyBorder="1" applyAlignment="1">
      <alignment horizontal="center"/>
    </xf>
    <xf numFmtId="1" fontId="2" fillId="5" borderId="19" xfId="0" applyNumberFormat="1" applyFont="1" applyFill="1" applyBorder="1" applyAlignment="1">
      <alignment horizontal="center"/>
    </xf>
    <xf numFmtId="0" fontId="0" fillId="5" borderId="1" xfId="0" applyFill="1" applyBorder="1" applyAlignment="1">
      <alignment horizontal="left" vertical="center" indent="1"/>
    </xf>
    <xf numFmtId="0" fontId="21" fillId="5" borderId="0" xfId="0" applyFont="1" applyFill="1" applyAlignment="1"/>
    <xf numFmtId="177" fontId="0" fillId="5" borderId="0" xfId="0" applyNumberFormat="1" applyFill="1" applyBorder="1" applyAlignment="1">
      <alignment horizontal="center"/>
    </xf>
    <xf numFmtId="0" fontId="0" fillId="5" borderId="0" xfId="0" applyFill="1" applyBorder="1" applyAlignment="1">
      <alignment horizontal="center"/>
    </xf>
    <xf numFmtId="167" fontId="0" fillId="5" borderId="17" xfId="0" applyNumberFormat="1" applyFill="1" applyBorder="1" applyAlignment="1">
      <alignment horizontal="center"/>
    </xf>
    <xf numFmtId="167" fontId="0" fillId="5" borderId="15" xfId="0" applyNumberFormat="1" applyFill="1" applyBorder="1" applyAlignment="1">
      <alignment horizontal="center"/>
    </xf>
    <xf numFmtId="167" fontId="2" fillId="5" borderId="19" xfId="0" applyNumberFormat="1" applyFont="1" applyFill="1" applyBorder="1" applyAlignment="1">
      <alignment horizontal="center"/>
    </xf>
    <xf numFmtId="1" fontId="0" fillId="5" borderId="8" xfId="0" applyNumberFormat="1" applyFill="1" applyBorder="1" applyAlignment="1">
      <alignment horizontal="center"/>
    </xf>
    <xf numFmtId="0" fontId="0" fillId="5" borderId="15" xfId="0" applyFill="1" applyBorder="1" applyAlignment="1">
      <alignment horizontal="left" vertical="center"/>
    </xf>
    <xf numFmtId="167" fontId="17" fillId="5" borderId="17" xfId="0" applyNumberFormat="1" applyFont="1" applyFill="1" applyBorder="1" applyAlignment="1" applyProtection="1">
      <alignment horizontal="center"/>
    </xf>
    <xf numFmtId="0" fontId="12" fillId="5" borderId="0" xfId="0" applyFont="1" applyFill="1" applyAlignment="1" applyProtection="1">
      <alignment horizontal="center"/>
    </xf>
    <xf numFmtId="1" fontId="12" fillId="5" borderId="1" xfId="0" applyNumberFormat="1" applyFont="1" applyFill="1" applyBorder="1" applyAlignment="1" applyProtection="1">
      <alignment horizontal="center"/>
    </xf>
    <xf numFmtId="0" fontId="12" fillId="5" borderId="1" xfId="0" applyFont="1" applyFill="1" applyBorder="1" applyAlignment="1" applyProtection="1">
      <alignment horizontal="center"/>
    </xf>
    <xf numFmtId="0" fontId="0" fillId="5" borderId="0" xfId="0" applyFill="1" applyAlignment="1">
      <alignment horizontal="center"/>
    </xf>
    <xf numFmtId="0" fontId="0" fillId="5" borderId="1" xfId="0" applyFill="1" applyBorder="1" applyAlignment="1">
      <alignment horizontal="center"/>
    </xf>
    <xf numFmtId="0" fontId="0" fillId="0" borderId="0" xfId="0" applyAlignment="1">
      <alignment horizontal="center"/>
    </xf>
    <xf numFmtId="1" fontId="5" fillId="4" borderId="0" xfId="0" applyNumberFormat="1" applyFont="1" applyFill="1" applyAlignment="1">
      <alignment horizontal="center"/>
    </xf>
    <xf numFmtId="0" fontId="0" fillId="5" borderId="0" xfId="0" applyFill="1" applyAlignment="1">
      <alignment horizontal="center"/>
    </xf>
    <xf numFmtId="0" fontId="0" fillId="5" borderId="1" xfId="0" applyFill="1" applyBorder="1" applyAlignment="1">
      <alignment horizontal="center"/>
    </xf>
    <xf numFmtId="0" fontId="0" fillId="0" borderId="0" xfId="0" applyAlignment="1">
      <alignment horizontal="center"/>
    </xf>
    <xf numFmtId="0" fontId="0" fillId="5" borderId="0" xfId="0" applyFont="1" applyFill="1"/>
    <xf numFmtId="167" fontId="0" fillId="5" borderId="0" xfId="0" applyNumberFormat="1" applyFill="1"/>
    <xf numFmtId="9" fontId="9" fillId="5" borderId="1" xfId="1" applyFont="1" applyFill="1" applyBorder="1" applyAlignment="1">
      <alignment horizontal="center" vertical="center"/>
    </xf>
    <xf numFmtId="164" fontId="9" fillId="5" borderId="1" xfId="2" applyNumberFormat="1" applyFont="1" applyFill="1" applyBorder="1">
      <alignment vertical="center"/>
    </xf>
    <xf numFmtId="2" fontId="0" fillId="5" borderId="1" xfId="1" applyNumberFormat="1" applyFont="1" applyFill="1" applyBorder="1" applyAlignment="1">
      <alignment horizontal="center"/>
    </xf>
    <xf numFmtId="1" fontId="0" fillId="5" borderId="1" xfId="0" applyNumberFormat="1" applyFont="1" applyFill="1" applyBorder="1" applyAlignment="1">
      <alignment horizontal="center"/>
    </xf>
    <xf numFmtId="0" fontId="0" fillId="5" borderId="1" xfId="0" applyFont="1" applyFill="1" applyBorder="1"/>
    <xf numFmtId="176" fontId="0" fillId="5" borderId="1" xfId="0" applyNumberFormat="1" applyFill="1" applyBorder="1"/>
    <xf numFmtId="9" fontId="0" fillId="5" borderId="1" xfId="1" applyFont="1" applyFill="1" applyBorder="1"/>
    <xf numFmtId="0" fontId="0" fillId="5" borderId="1" xfId="0" applyFont="1" applyFill="1" applyBorder="1" applyAlignment="1">
      <alignment horizontal="center"/>
    </xf>
    <xf numFmtId="0" fontId="0" fillId="5" borderId="3" xfId="0" applyFont="1" applyFill="1" applyBorder="1" applyAlignment="1">
      <alignment horizontal="center"/>
    </xf>
    <xf numFmtId="0" fontId="0" fillId="5" borderId="0" xfId="0" applyFill="1" applyAlignment="1">
      <alignment horizontal="center"/>
    </xf>
    <xf numFmtId="9" fontId="0" fillId="5" borderId="0" xfId="1" applyFont="1" applyFill="1"/>
    <xf numFmtId="0" fontId="2" fillId="5" borderId="0" xfId="0" applyFont="1" applyFill="1" applyBorder="1"/>
    <xf numFmtId="1" fontId="0" fillId="5" borderId="0" xfId="0" applyNumberFormat="1" applyFill="1" applyBorder="1" applyAlignment="1">
      <alignment horizontal="center"/>
    </xf>
    <xf numFmtId="173" fontId="0" fillId="0" borderId="0" xfId="0" applyNumberFormat="1"/>
    <xf numFmtId="9" fontId="2" fillId="0" borderId="0" xfId="1" applyFont="1"/>
    <xf numFmtId="173" fontId="2" fillId="0" borderId="0" xfId="0" applyNumberFormat="1" applyFont="1"/>
    <xf numFmtId="0" fontId="27" fillId="0" borderId="0" xfId="5"/>
    <xf numFmtId="0" fontId="2" fillId="0" borderId="0" xfId="0" applyFont="1" applyAlignment="1">
      <alignment horizontal="left" indent="1"/>
    </xf>
    <xf numFmtId="2" fontId="0" fillId="0" borderId="0" xfId="1" applyNumberFormat="1" applyFont="1"/>
    <xf numFmtId="9" fontId="0" fillId="5" borderId="0" xfId="1" applyNumberFormat="1" applyFont="1" applyFill="1"/>
    <xf numFmtId="0" fontId="0" fillId="5" borderId="1" xfId="0" applyFill="1" applyBorder="1" applyAlignment="1">
      <alignment horizontal="left" indent="2"/>
    </xf>
    <xf numFmtId="0" fontId="0" fillId="5" borderId="15" xfId="0" applyFill="1" applyBorder="1"/>
    <xf numFmtId="173" fontId="0" fillId="5" borderId="1" xfId="1" applyNumberFormat="1" applyFont="1" applyFill="1" applyBorder="1" applyAlignment="1">
      <alignment horizontal="center"/>
    </xf>
    <xf numFmtId="173" fontId="0" fillId="5" borderId="1" xfId="0" applyNumberFormat="1" applyFill="1" applyBorder="1" applyAlignment="1">
      <alignment horizontal="center"/>
    </xf>
    <xf numFmtId="9" fontId="0" fillId="5" borderId="1" xfId="0" applyNumberFormat="1" applyFill="1" applyBorder="1" applyAlignment="1">
      <alignment horizontal="center"/>
    </xf>
    <xf numFmtId="0" fontId="2" fillId="5" borderId="3" xfId="0" applyFont="1" applyFill="1" applyBorder="1" applyAlignment="1">
      <alignment horizontal="center"/>
    </xf>
    <xf numFmtId="0" fontId="0" fillId="5" borderId="5" xfId="0" applyFont="1" applyFill="1" applyBorder="1"/>
    <xf numFmtId="0" fontId="0" fillId="5" borderId="5" xfId="0" applyFill="1" applyBorder="1" applyAlignment="1">
      <alignment horizontal="center"/>
    </xf>
    <xf numFmtId="0" fontId="0" fillId="5" borderId="23" xfId="0" applyFont="1" applyFill="1" applyBorder="1"/>
    <xf numFmtId="0" fontId="0" fillId="5" borderId="24" xfId="0" applyFill="1" applyBorder="1" applyAlignment="1">
      <alignment horizontal="center"/>
    </xf>
    <xf numFmtId="0" fontId="0" fillId="5" borderId="25" xfId="0" applyFill="1" applyBorder="1" applyAlignment="1">
      <alignment horizontal="center"/>
    </xf>
    <xf numFmtId="0" fontId="2" fillId="5" borderId="23" xfId="0" applyFont="1" applyFill="1" applyBorder="1"/>
    <xf numFmtId="0" fontId="2" fillId="5" borderId="24" xfId="0" applyFont="1" applyFill="1" applyBorder="1" applyAlignment="1">
      <alignment horizontal="center"/>
    </xf>
    <xf numFmtId="0" fontId="2" fillId="5" borderId="25" xfId="0" applyFont="1" applyFill="1" applyBorder="1" applyAlignment="1">
      <alignment horizontal="center"/>
    </xf>
    <xf numFmtId="1" fontId="6" fillId="0" borderId="0" xfId="2" applyNumberFormat="1" applyFont="1">
      <alignment vertical="center"/>
    </xf>
    <xf numFmtId="2" fontId="6" fillId="0" borderId="14" xfId="2" applyNumberFormat="1" applyFont="1" applyBorder="1" applyAlignment="1">
      <alignment horizontal="center" vertical="center"/>
    </xf>
    <xf numFmtId="1" fontId="3" fillId="0" borderId="0" xfId="2" applyNumberFormat="1" applyFont="1">
      <alignment vertical="center"/>
    </xf>
    <xf numFmtId="178" fontId="0" fillId="5" borderId="1" xfId="0" applyNumberFormat="1" applyFill="1" applyBorder="1" applyAlignment="1">
      <alignment horizontal="center"/>
    </xf>
    <xf numFmtId="1" fontId="2" fillId="5" borderId="1" xfId="0" applyNumberFormat="1" applyFont="1" applyFill="1" applyBorder="1" applyAlignment="1">
      <alignment horizontal="center"/>
    </xf>
    <xf numFmtId="0" fontId="0" fillId="5" borderId="19" xfId="0" applyFill="1" applyBorder="1" applyAlignment="1">
      <alignment horizontal="center"/>
    </xf>
    <xf numFmtId="0" fontId="0" fillId="0" borderId="0" xfId="0" applyAlignment="1">
      <alignment horizontal="center"/>
    </xf>
    <xf numFmtId="0" fontId="5" fillId="4" borderId="0" xfId="0" applyFont="1" applyFill="1" applyAlignment="1">
      <alignment horizontal="center"/>
    </xf>
    <xf numFmtId="177" fontId="2" fillId="0" borderId="19" xfId="0" applyNumberFormat="1" applyFont="1" applyBorder="1" applyAlignment="1">
      <alignment horizontal="center"/>
    </xf>
    <xf numFmtId="0" fontId="2" fillId="5" borderId="1" xfId="0" applyFont="1" applyFill="1" applyBorder="1" applyAlignment="1">
      <alignment horizontal="center"/>
    </xf>
    <xf numFmtId="0" fontId="0" fillId="5" borderId="1" xfId="0" applyFill="1" applyBorder="1" applyAlignment="1">
      <alignment horizontal="center"/>
    </xf>
    <xf numFmtId="0" fontId="0" fillId="0" borderId="0" xfId="0" applyAlignment="1">
      <alignment horizontal="center"/>
    </xf>
    <xf numFmtId="0" fontId="4" fillId="0" borderId="6" xfId="2" applyFont="1" applyBorder="1" applyAlignment="1" applyProtection="1">
      <alignment horizontal="left" vertical="center" indent="1"/>
      <protection locked="0"/>
    </xf>
    <xf numFmtId="0" fontId="8" fillId="0" borderId="0" xfId="2" applyFont="1" applyBorder="1" applyProtection="1">
      <alignment vertical="center"/>
      <protection locked="0"/>
    </xf>
    <xf numFmtId="0" fontId="4" fillId="0" borderId="6" xfId="2" applyFont="1" applyBorder="1" applyProtection="1">
      <alignment vertical="center"/>
      <protection locked="0"/>
    </xf>
    <xf numFmtId="1" fontId="9" fillId="0" borderId="6" xfId="2" applyNumberFormat="1" applyFont="1" applyBorder="1" applyAlignment="1">
      <alignment horizontal="center" vertical="center"/>
    </xf>
    <xf numFmtId="0" fontId="4" fillId="0" borderId="6" xfId="2" applyFont="1" applyBorder="1" applyAlignment="1" applyProtection="1">
      <alignment horizontal="left" vertical="center" indent="2"/>
      <protection locked="0"/>
    </xf>
    <xf numFmtId="164" fontId="6" fillId="0" borderId="6" xfId="2" applyNumberFormat="1" applyFont="1" applyBorder="1" applyAlignment="1">
      <alignment horizontal="center" vertical="center"/>
    </xf>
    <xf numFmtId="164" fontId="9" fillId="0" borderId="6" xfId="2" applyNumberFormat="1" applyFont="1" applyBorder="1" applyAlignment="1">
      <alignment horizontal="center" vertical="center"/>
    </xf>
    <xf numFmtId="164" fontId="9" fillId="0" borderId="6" xfId="2" applyNumberFormat="1" applyFont="1" applyBorder="1">
      <alignment vertical="center"/>
    </xf>
    <xf numFmtId="1" fontId="12" fillId="0" borderId="0" xfId="0" applyNumberFormat="1" applyFont="1" applyFill="1" applyAlignment="1" applyProtection="1">
      <alignment horizontal="center" vertical="center"/>
    </xf>
    <xf numFmtId="0" fontId="13" fillId="0" borderId="0" xfId="0" applyFont="1" applyFill="1" applyAlignment="1" applyProtection="1">
      <alignment vertical="center"/>
    </xf>
    <xf numFmtId="0" fontId="12" fillId="0" borderId="0" xfId="0" applyFont="1" applyFill="1" applyAlignment="1" applyProtection="1">
      <alignment horizontal="right" vertical="center"/>
    </xf>
    <xf numFmtId="0" fontId="12" fillId="0" borderId="0" xfId="0" applyFont="1" applyFill="1" applyAlignment="1" applyProtection="1">
      <alignment horizontal="center" vertical="center"/>
    </xf>
    <xf numFmtId="0" fontId="17" fillId="7" borderId="0" xfId="0" applyFont="1" applyFill="1" applyAlignment="1" applyProtection="1">
      <alignment horizontal="center" vertical="center"/>
    </xf>
    <xf numFmtId="172" fontId="12" fillId="0" borderId="0" xfId="0" applyNumberFormat="1" applyFont="1" applyFill="1" applyAlignment="1" applyProtection="1">
      <alignment horizontal="center" vertical="center"/>
    </xf>
    <xf numFmtId="3" fontId="12" fillId="0" borderId="16" xfId="0" applyNumberFormat="1" applyFont="1" applyFill="1" applyBorder="1" applyAlignment="1" applyProtection="1">
      <alignment horizontal="center" vertical="center"/>
    </xf>
    <xf numFmtId="0" fontId="16" fillId="0" borderId="0" xfId="0" applyFont="1" applyFill="1" applyAlignment="1" applyProtection="1">
      <alignment horizontal="left" wrapText="1" indent="2"/>
    </xf>
    <xf numFmtId="0" fontId="12" fillId="0" borderId="0" xfId="0" applyFont="1" applyFill="1" applyAlignment="1" applyProtection="1">
      <alignment horizontal="left" wrapText="1" indent="2"/>
    </xf>
    <xf numFmtId="0" fontId="17" fillId="0" borderId="0" xfId="0" applyFont="1" applyFill="1" applyAlignment="1" applyProtection="1">
      <alignment horizontal="left" wrapText="1" indent="2"/>
    </xf>
    <xf numFmtId="0" fontId="12" fillId="0" borderId="0" xfId="0" applyFont="1" applyFill="1" applyAlignment="1" applyProtection="1">
      <alignment horizontal="left" wrapText="1" indent="1"/>
    </xf>
    <xf numFmtId="0" fontId="12" fillId="0" borderId="0" xfId="0" applyFont="1" applyFill="1" applyAlignment="1" applyProtection="1">
      <alignment horizontal="left" wrapText="1" indent="3"/>
    </xf>
    <xf numFmtId="0" fontId="16" fillId="0" borderId="0" xfId="0" applyFont="1" applyFill="1" applyAlignment="1" applyProtection="1">
      <alignment horizontal="left" wrapText="1" indent="3"/>
    </xf>
    <xf numFmtId="1" fontId="13" fillId="0" borderId="0" xfId="0" applyNumberFormat="1" applyFont="1" applyFill="1" applyAlignment="1" applyProtection="1">
      <alignment horizontal="center" vertical="center"/>
    </xf>
    <xf numFmtId="0" fontId="35" fillId="0" borderId="0" xfId="2" applyFont="1" applyAlignment="1">
      <alignment horizontal="center" vertical="center"/>
    </xf>
    <xf numFmtId="1" fontId="8" fillId="5" borderId="1" xfId="2" applyNumberFormat="1" applyFont="1" applyFill="1" applyBorder="1" applyAlignment="1">
      <alignment horizontal="center" vertical="center"/>
    </xf>
    <xf numFmtId="9" fontId="21" fillId="5" borderId="1" xfId="1" applyFont="1" applyFill="1" applyBorder="1" applyAlignment="1">
      <alignment horizontal="center"/>
    </xf>
    <xf numFmtId="1" fontId="2" fillId="5" borderId="1" xfId="3" applyNumberFormat="1" applyFont="1" applyFill="1" applyBorder="1" applyAlignment="1">
      <alignment horizontal="center"/>
    </xf>
    <xf numFmtId="177" fontId="0" fillId="0" borderId="0" xfId="0" applyNumberFormat="1" applyAlignment="1">
      <alignment horizontal="center"/>
    </xf>
    <xf numFmtId="0" fontId="2" fillId="0" borderId="0" xfId="0" applyFont="1" applyAlignment="1">
      <alignment horizontal="left"/>
    </xf>
    <xf numFmtId="179" fontId="0" fillId="0" borderId="0" xfId="0" applyNumberFormat="1"/>
    <xf numFmtId="43" fontId="0" fillId="0" borderId="0" xfId="3" applyFont="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5" xfId="0" applyFont="1" applyFill="1" applyBorder="1" applyAlignment="1">
      <alignment horizontal="center" vertical="center"/>
    </xf>
    <xf numFmtId="0" fontId="5" fillId="4" borderId="0" xfId="0" applyFont="1" applyFill="1" applyAlignment="1">
      <alignment horizontal="center"/>
    </xf>
    <xf numFmtId="0" fontId="5" fillId="4" borderId="0" xfId="0" applyFont="1" applyFill="1" applyAlignment="1">
      <alignment horizontal="left"/>
    </xf>
    <xf numFmtId="0" fontId="2" fillId="5" borderId="3" xfId="0" applyFont="1" applyFill="1" applyBorder="1" applyAlignment="1">
      <alignment horizontal="left" vertical="center"/>
    </xf>
    <xf numFmtId="0" fontId="2" fillId="5" borderId="5" xfId="0" applyFont="1" applyFill="1" applyBorder="1" applyAlignment="1">
      <alignment horizontal="left" vertical="center"/>
    </xf>
    <xf numFmtId="0" fontId="2" fillId="5" borderId="1" xfId="0" applyFont="1" applyFill="1" applyBorder="1" applyAlignment="1">
      <alignment horizontal="left"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xf>
    <xf numFmtId="0" fontId="0" fillId="5" borderId="15" xfId="0" applyFill="1" applyBorder="1" applyAlignment="1">
      <alignment horizontal="left"/>
    </xf>
    <xf numFmtId="0" fontId="0" fillId="5" borderId="17" xfId="0" applyFill="1" applyBorder="1" applyAlignment="1">
      <alignment horizontal="left"/>
    </xf>
    <xf numFmtId="0" fontId="0" fillId="5" borderId="15" xfId="0" applyFill="1" applyBorder="1" applyAlignment="1">
      <alignment horizontal="left" wrapText="1"/>
    </xf>
    <xf numFmtId="0" fontId="0" fillId="5" borderId="17" xfId="0" applyFill="1" applyBorder="1" applyAlignment="1">
      <alignment horizontal="left" wrapText="1"/>
    </xf>
    <xf numFmtId="0" fontId="2" fillId="5" borderId="1" xfId="0" applyFont="1" applyFill="1" applyBorder="1" applyAlignment="1">
      <alignment horizontal="center"/>
    </xf>
    <xf numFmtId="0" fontId="34" fillId="5" borderId="15" xfId="0" applyFont="1" applyFill="1" applyBorder="1" applyAlignment="1">
      <alignment horizontal="center"/>
    </xf>
    <xf numFmtId="0" fontId="34" fillId="5" borderId="16" xfId="0" applyFont="1" applyFill="1" applyBorder="1" applyAlignment="1">
      <alignment horizontal="center"/>
    </xf>
    <xf numFmtId="0" fontId="34" fillId="5" borderId="17" xfId="0" applyFont="1" applyFill="1" applyBorder="1" applyAlignment="1">
      <alignment horizontal="center"/>
    </xf>
    <xf numFmtId="0" fontId="34" fillId="5" borderId="1" xfId="0" applyFont="1" applyFill="1" applyBorder="1" applyAlignment="1">
      <alignment horizontal="center"/>
    </xf>
    <xf numFmtId="0" fontId="0" fillId="5" borderId="1" xfId="0" applyFill="1" applyBorder="1" applyAlignment="1">
      <alignment horizontal="center"/>
    </xf>
    <xf numFmtId="0" fontId="0" fillId="5" borderId="15" xfId="0" applyFill="1" applyBorder="1" applyAlignment="1">
      <alignment horizontal="center"/>
    </xf>
    <xf numFmtId="0" fontId="0" fillId="5" borderId="16" xfId="0" applyFill="1" applyBorder="1" applyAlignment="1">
      <alignment horizontal="center"/>
    </xf>
    <xf numFmtId="0" fontId="0" fillId="5" borderId="17" xfId="0" applyFill="1" applyBorder="1" applyAlignment="1">
      <alignment horizontal="center"/>
    </xf>
    <xf numFmtId="0" fontId="26" fillId="16" borderId="15" xfId="0" applyFont="1" applyFill="1" applyBorder="1" applyAlignment="1">
      <alignment horizontal="center"/>
    </xf>
    <xf numFmtId="0" fontId="26" fillId="16" borderId="16" xfId="0" applyFont="1" applyFill="1" applyBorder="1" applyAlignment="1">
      <alignment horizontal="center"/>
    </xf>
    <xf numFmtId="0" fontId="26" fillId="16" borderId="1" xfId="0" applyFont="1" applyFill="1" applyBorder="1" applyAlignment="1">
      <alignment horizontal="center"/>
    </xf>
    <xf numFmtId="1" fontId="0" fillId="5" borderId="15" xfId="0" applyNumberFormat="1" applyFill="1" applyBorder="1" applyAlignment="1">
      <alignment horizontal="center"/>
    </xf>
    <xf numFmtId="1" fontId="0" fillId="5" borderId="16" xfId="0" applyNumberFormat="1" applyFill="1" applyBorder="1" applyAlignment="1">
      <alignment horizontal="center"/>
    </xf>
    <xf numFmtId="1" fontId="0" fillId="5" borderId="17" xfId="0" applyNumberFormat="1" applyFill="1" applyBorder="1" applyAlignment="1">
      <alignment horizontal="center"/>
    </xf>
    <xf numFmtId="0" fontId="2" fillId="16" borderId="20" xfId="0" applyFont="1" applyFill="1" applyBorder="1" applyAlignment="1">
      <alignment horizontal="center"/>
    </xf>
    <xf numFmtId="0" fontId="2" fillId="16" borderId="21" xfId="0" applyFont="1" applyFill="1" applyBorder="1" applyAlignment="1">
      <alignment horizontal="center"/>
    </xf>
    <xf numFmtId="0" fontId="2" fillId="16" borderId="22" xfId="0" applyFont="1" applyFill="1" applyBorder="1" applyAlignment="1">
      <alignment horizontal="center"/>
    </xf>
    <xf numFmtId="14" fontId="0" fillId="5" borderId="1" xfId="0" applyNumberFormat="1" applyFill="1" applyBorder="1" applyAlignment="1">
      <alignment horizontal="center"/>
    </xf>
    <xf numFmtId="0" fontId="21" fillId="5" borderId="1" xfId="0" applyFont="1" applyFill="1" applyBorder="1" applyAlignment="1">
      <alignment horizontal="center"/>
    </xf>
    <xf numFmtId="0" fontId="0" fillId="0" borderId="0" xfId="0" applyAlignment="1">
      <alignment horizontal="center"/>
    </xf>
    <xf numFmtId="0" fontId="2" fillId="0" borderId="6" xfId="0" applyFont="1" applyBorder="1" applyAlignment="1">
      <alignment horizontal="center"/>
    </xf>
  </cellXfs>
  <cellStyles count="6">
    <cellStyle name="Comma" xfId="3" builtinId="3"/>
    <cellStyle name="Currency" xfId="4" builtinId="4"/>
    <cellStyle name="Hyperlink" xfId="5" builtinId="8"/>
    <cellStyle name="Normal" xfId="0" builtinId="0"/>
    <cellStyle name="Normal 2" xfId="2" xr:uid="{4BA51BEB-F635-40CA-9AC9-1FF25A8041D6}"/>
    <cellStyle name="Percent" xfId="1" builtinId="5"/>
  </cellStyles>
  <dxfs count="0"/>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EPS,</a:t>
            </a:r>
            <a:r>
              <a:rPr lang="en-US" baseline="0"/>
              <a:t> 2018-2020</a:t>
            </a:r>
            <a:endParaRPr lang="en-US"/>
          </a:p>
        </c:rich>
      </c:tx>
      <c:overlay val="0"/>
      <c:spPr>
        <a:noFill/>
        <a:ln>
          <a:noFill/>
        </a:ln>
        <a:effectLst/>
      </c:spPr>
    </c:title>
    <c:autoTitleDeleted val="0"/>
    <c:plotArea>
      <c:layout/>
      <c:scatterChart>
        <c:scatterStyle val="lineMarker"/>
        <c:varyColors val="0"/>
        <c:ser>
          <c:idx val="1"/>
          <c:order val="0"/>
          <c:tx>
            <c:strRef>
              <c:f>'Reporting Data'!$B$26</c:f>
              <c:strCache>
                <c:ptCount val="1"/>
                <c:pt idx="0">
                  <c:v>Low</c:v>
                </c:pt>
              </c:strCache>
            </c:strRef>
          </c:tx>
          <c:spPr>
            <a:ln>
              <a:solidFill>
                <a:schemeClr val="accent4"/>
              </a:solidFill>
            </a:ln>
          </c:spPr>
          <c:marker>
            <c:spPr>
              <a:solidFill>
                <a:srgbClr val="FFC000"/>
              </a:solidFill>
              <a:ln>
                <a:solidFill>
                  <a:schemeClr val="accent4"/>
                </a:solidFill>
              </a:ln>
            </c:spPr>
          </c:marker>
          <c:xVal>
            <c:numRef>
              <c:f>'Reporting Data'!$C$25:$F$25</c:f>
              <c:numCache>
                <c:formatCode>General</c:formatCode>
                <c:ptCount val="4"/>
                <c:pt idx="0">
                  <c:v>2021</c:v>
                </c:pt>
                <c:pt idx="1">
                  <c:v>2020</c:v>
                </c:pt>
                <c:pt idx="2">
                  <c:v>2019</c:v>
                </c:pt>
                <c:pt idx="3">
                  <c:v>2018</c:v>
                </c:pt>
              </c:numCache>
            </c:numRef>
          </c:xVal>
          <c:yVal>
            <c:numRef>
              <c:f>'Reporting Data'!$C$26:$F$26</c:f>
              <c:numCache>
                <c:formatCode>General</c:formatCode>
                <c:ptCount val="4"/>
                <c:pt idx="0">
                  <c:v>15.55</c:v>
                </c:pt>
                <c:pt idx="1">
                  <c:v>13.5</c:v>
                </c:pt>
                <c:pt idx="2">
                  <c:v>12.23</c:v>
                </c:pt>
                <c:pt idx="3">
                  <c:v>12.64</c:v>
                </c:pt>
              </c:numCache>
            </c:numRef>
          </c:yVal>
          <c:smooth val="0"/>
          <c:extLst>
            <c:ext xmlns:c16="http://schemas.microsoft.com/office/drawing/2014/chart" uri="{C3380CC4-5D6E-409C-BE32-E72D297353CC}">
              <c16:uniqueId val="{00000010-4E85-42C4-BE7D-08C1C01AC5F3}"/>
            </c:ext>
          </c:extLst>
        </c:ser>
        <c:ser>
          <c:idx val="2"/>
          <c:order val="1"/>
          <c:tx>
            <c:strRef>
              <c:f>'Reporting Data'!$B$27</c:f>
              <c:strCache>
                <c:ptCount val="1"/>
                <c:pt idx="0">
                  <c:v>Median</c:v>
                </c:pt>
              </c:strCache>
            </c:strRef>
          </c:tx>
          <c:spPr>
            <a:ln w="19050" cap="rnd">
              <a:solidFill>
                <a:schemeClr val="accent2"/>
              </a:solidFill>
              <a:round/>
            </a:ln>
            <a:effectLst/>
          </c:spPr>
          <c:marker>
            <c:spPr>
              <a:solidFill>
                <a:schemeClr val="accent2"/>
              </a:solidFill>
              <a:ln>
                <a:solidFill>
                  <a:schemeClr val="accent2"/>
                </a:solidFill>
              </a:ln>
            </c:spPr>
          </c:marker>
          <c:xVal>
            <c:numRef>
              <c:f>'Reporting Data'!$C$25:$F$25</c:f>
              <c:numCache>
                <c:formatCode>General</c:formatCode>
                <c:ptCount val="4"/>
                <c:pt idx="0">
                  <c:v>2021</c:v>
                </c:pt>
                <c:pt idx="1">
                  <c:v>2020</c:v>
                </c:pt>
                <c:pt idx="2">
                  <c:v>2019</c:v>
                </c:pt>
                <c:pt idx="3">
                  <c:v>2018</c:v>
                </c:pt>
              </c:numCache>
            </c:numRef>
          </c:xVal>
          <c:yVal>
            <c:numRef>
              <c:f>'Reporting Data'!$C$27:$F$27</c:f>
              <c:numCache>
                <c:formatCode>General</c:formatCode>
                <c:ptCount val="4"/>
                <c:pt idx="0">
                  <c:v>15.55</c:v>
                </c:pt>
                <c:pt idx="1">
                  <c:v>14.49</c:v>
                </c:pt>
                <c:pt idx="2">
                  <c:v>14.18</c:v>
                </c:pt>
                <c:pt idx="3">
                  <c:v>13.67</c:v>
                </c:pt>
              </c:numCache>
            </c:numRef>
          </c:yVal>
          <c:smooth val="0"/>
          <c:extLst>
            <c:ext xmlns:c16="http://schemas.microsoft.com/office/drawing/2014/chart" uri="{C3380CC4-5D6E-409C-BE32-E72D297353CC}">
              <c16:uniqueId val="{00000011-4E85-42C4-BE7D-08C1C01AC5F3}"/>
            </c:ext>
          </c:extLst>
        </c:ser>
        <c:ser>
          <c:idx val="3"/>
          <c:order val="2"/>
          <c:tx>
            <c:strRef>
              <c:f>'Reporting Data'!$B$28</c:f>
              <c:strCache>
                <c:ptCount val="1"/>
                <c:pt idx="0">
                  <c:v>High</c:v>
                </c:pt>
              </c:strCache>
            </c:strRef>
          </c:tx>
          <c:spPr>
            <a:ln w="19050" cap="rnd">
              <a:solidFill>
                <a:srgbClr val="FF3300"/>
              </a:solidFill>
              <a:round/>
            </a:ln>
            <a:effectLst/>
          </c:spPr>
          <c:marker>
            <c:symbol val="circle"/>
            <c:size val="5"/>
            <c:spPr>
              <a:solidFill>
                <a:srgbClr val="FF3300"/>
              </a:solidFill>
              <a:ln>
                <a:solidFill>
                  <a:srgbClr val="FF3300"/>
                </a:solidFill>
              </a:ln>
            </c:spPr>
          </c:marker>
          <c:dPt>
            <c:idx val="3"/>
            <c:marker>
              <c:spPr>
                <a:ln>
                  <a:solidFill>
                    <a:srgbClr val="FF3300"/>
                  </a:solidFill>
                </a:ln>
              </c:spPr>
            </c:marker>
            <c:bubble3D val="0"/>
            <c:extLst>
              <c:ext xmlns:c16="http://schemas.microsoft.com/office/drawing/2014/chart" uri="{C3380CC4-5D6E-409C-BE32-E72D297353CC}">
                <c16:uniqueId val="{00000014-4E85-42C4-BE7D-08C1C01AC5F3}"/>
              </c:ext>
            </c:extLst>
          </c:dPt>
          <c:xVal>
            <c:numRef>
              <c:f>'Reporting Data'!$C$25:$F$25</c:f>
              <c:numCache>
                <c:formatCode>General</c:formatCode>
                <c:ptCount val="4"/>
                <c:pt idx="0">
                  <c:v>2021</c:v>
                </c:pt>
                <c:pt idx="1">
                  <c:v>2020</c:v>
                </c:pt>
                <c:pt idx="2">
                  <c:v>2019</c:v>
                </c:pt>
                <c:pt idx="3">
                  <c:v>2018</c:v>
                </c:pt>
              </c:numCache>
            </c:numRef>
          </c:xVal>
          <c:yVal>
            <c:numRef>
              <c:f>'Reporting Data'!$C$28:$F$28</c:f>
              <c:numCache>
                <c:formatCode>General</c:formatCode>
                <c:ptCount val="4"/>
                <c:pt idx="0">
                  <c:v>15.55</c:v>
                </c:pt>
                <c:pt idx="1">
                  <c:v>15.9</c:v>
                </c:pt>
                <c:pt idx="2">
                  <c:v>14.95</c:v>
                </c:pt>
                <c:pt idx="3">
                  <c:v>14.61</c:v>
                </c:pt>
              </c:numCache>
            </c:numRef>
          </c:yVal>
          <c:smooth val="0"/>
          <c:extLst>
            <c:ext xmlns:c16="http://schemas.microsoft.com/office/drawing/2014/chart" uri="{C3380CC4-5D6E-409C-BE32-E72D297353CC}">
              <c16:uniqueId val="{00000012-4E85-42C4-BE7D-08C1C01AC5F3}"/>
            </c:ext>
          </c:extLst>
        </c:ser>
        <c:ser>
          <c:idx val="0"/>
          <c:order val="3"/>
          <c:tx>
            <c:strRef>
              <c:f>'Reporting Data'!$B$29</c:f>
              <c:strCache>
                <c:ptCount val="1"/>
                <c:pt idx="0">
                  <c:v>Us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'Reporting Data'!$C$25:$F$25</c:f>
              <c:numCache>
                <c:formatCode>General</c:formatCode>
                <c:ptCount val="4"/>
                <c:pt idx="0">
                  <c:v>2021</c:v>
                </c:pt>
                <c:pt idx="1">
                  <c:v>2020</c:v>
                </c:pt>
                <c:pt idx="2">
                  <c:v>2019</c:v>
                </c:pt>
                <c:pt idx="3">
                  <c:v>2018</c:v>
                </c:pt>
              </c:numCache>
            </c:numRef>
          </c:xVal>
          <c:yVal>
            <c:numRef>
              <c:f>'Reporting Data'!$C$29:$F$29</c:f>
              <c:numCache>
                <c:formatCode>0.0</c:formatCode>
                <c:ptCount val="4"/>
                <c:pt idx="0">
                  <c:v>11.458407106178832</c:v>
                </c:pt>
                <c:pt idx="1">
                  <c:v>11.496789297950668</c:v>
                </c:pt>
                <c:pt idx="2">
                  <c:v>11.554938278619755</c:v>
                </c:pt>
                <c:pt idx="3">
                  <c:v>13.249827692745972</c:v>
                </c:pt>
              </c:numCache>
            </c:numRef>
          </c:yVal>
          <c:smooth val="0"/>
          <c:extLst>
            <c:ext xmlns:c16="http://schemas.microsoft.com/office/drawing/2014/chart" uri="{C3380CC4-5D6E-409C-BE32-E72D297353CC}">
              <c16:uniqueId val="{0000000F-4E85-42C4-BE7D-08C1C01AC5F3}"/>
            </c:ext>
          </c:extLst>
        </c:ser>
        <c:dLbls>
          <c:showLegendKey val="0"/>
          <c:showVal val="0"/>
          <c:showCatName val="0"/>
          <c:showSerName val="0"/>
          <c:showPercent val="0"/>
          <c:showBubbleSize val="0"/>
        </c:dLbls>
        <c:axId val="577201016"/>
        <c:axId val="577201672"/>
      </c:scatterChart>
      <c:valAx>
        <c:axId val="5772010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201672"/>
        <c:crosses val="autoZero"/>
        <c:crossBetween val="midCat"/>
      </c:valAx>
      <c:valAx>
        <c:axId val="577201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7201016"/>
        <c:crosses val="autoZero"/>
        <c:crossBetween val="midCat"/>
      </c:valAx>
      <c:spPr>
        <a:noFill/>
        <a:ln>
          <a:noFill/>
        </a:ln>
      </c:spPr>
    </c:plotArea>
    <c:legend>
      <c:legendPos val="b"/>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Sales Growth Projections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Predictions!$B$6</c:f>
              <c:strCache>
                <c:ptCount val="1"/>
                <c:pt idx="0">
                  <c:v>Average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Predictions!$C$4:$L$4</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Predictions!$C$6:$L$6</c:f>
              <c:numCache>
                <c:formatCode>0</c:formatCode>
                <c:ptCount val="10"/>
                <c:pt idx="0">
                  <c:v>22757.073175118854</c:v>
                </c:pt>
                <c:pt idx="1">
                  <c:v>22222.223350972708</c:v>
                </c:pt>
                <c:pt idx="2">
                  <c:v>21702.349070915727</c:v>
                </c:pt>
                <c:pt idx="3">
                  <c:v>21196.834119075153</c:v>
                </c:pt>
                <c:pt idx="4">
                  <c:v>20705.08904961705</c:v>
                </c:pt>
                <c:pt idx="5">
                  <c:v>20428</c:v>
                </c:pt>
                <c:pt idx="6">
                  <c:v>17509</c:v>
                </c:pt>
                <c:pt idx="7">
                  <c:v>19110</c:v>
                </c:pt>
                <c:pt idx="8">
                  <c:v>19221</c:v>
                </c:pt>
                <c:pt idx="9">
                  <c:v>17301</c:v>
                </c:pt>
              </c:numCache>
            </c:numRef>
          </c:yVal>
          <c:smooth val="0"/>
          <c:extLst>
            <c:ext xmlns:c16="http://schemas.microsoft.com/office/drawing/2014/chart" uri="{C3380CC4-5D6E-409C-BE32-E72D297353CC}">
              <c16:uniqueId val="{00000000-C678-41E4-B6C5-9A2C81C21217}"/>
            </c:ext>
          </c:extLst>
        </c:ser>
        <c:ser>
          <c:idx val="1"/>
          <c:order val="1"/>
          <c:tx>
            <c:strRef>
              <c:f>Predictions!$B$7</c:f>
              <c:strCache>
                <c:ptCount val="1"/>
                <c:pt idx="0">
                  <c:v>Segment Roll-Up</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Predictions!$C$4:$L$4</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Predictions!$C$7:$L$7</c:f>
              <c:numCache>
                <c:formatCode>0</c:formatCode>
                <c:ptCount val="10"/>
                <c:pt idx="0">
                  <c:v>21893.199999999852</c:v>
                </c:pt>
                <c:pt idx="1">
                  <c:v>21438.999999999651</c:v>
                </c:pt>
                <c:pt idx="2">
                  <c:v>20984.799999999988</c:v>
                </c:pt>
                <c:pt idx="3">
                  <c:v>20530.599999999788</c:v>
                </c:pt>
                <c:pt idx="4">
                  <c:v>20076.39999999982</c:v>
                </c:pt>
                <c:pt idx="5">
                  <c:v>20428</c:v>
                </c:pt>
                <c:pt idx="6">
                  <c:v>17509</c:v>
                </c:pt>
                <c:pt idx="7">
                  <c:v>19110</c:v>
                </c:pt>
                <c:pt idx="8">
                  <c:v>19221</c:v>
                </c:pt>
                <c:pt idx="9">
                  <c:v>17301</c:v>
                </c:pt>
              </c:numCache>
            </c:numRef>
          </c:yVal>
          <c:smooth val="0"/>
          <c:extLst>
            <c:ext xmlns:c16="http://schemas.microsoft.com/office/drawing/2014/chart" uri="{C3380CC4-5D6E-409C-BE32-E72D297353CC}">
              <c16:uniqueId val="{00000001-C678-41E4-B6C5-9A2C81C21217}"/>
            </c:ext>
          </c:extLst>
        </c:ser>
        <c:ser>
          <c:idx val="2"/>
          <c:order val="2"/>
          <c:tx>
            <c:strRef>
              <c:f>Predictions!$B$8</c:f>
              <c:strCache>
                <c:ptCount val="1"/>
                <c:pt idx="0">
                  <c:v>Overall - CAGR</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Predictions!$C$4:$L$4</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Predictions!$C$8:$L$8</c:f>
              <c:numCache>
                <c:formatCode>0</c:formatCode>
                <c:ptCount val="10"/>
                <c:pt idx="0">
                  <c:v>21676.809679619222</c:v>
                </c:pt>
                <c:pt idx="1">
                  <c:v>21421.084850496547</c:v>
                </c:pt>
                <c:pt idx="2">
                  <c:v>21168.376848536001</c:v>
                </c:pt>
                <c:pt idx="3">
                  <c:v>20918.650083739711</c:v>
                </c:pt>
                <c:pt idx="4">
                  <c:v>20671.869385970753</c:v>
                </c:pt>
                <c:pt idx="5">
                  <c:v>20428</c:v>
                </c:pt>
                <c:pt idx="6">
                  <c:v>17509</c:v>
                </c:pt>
                <c:pt idx="7">
                  <c:v>19110</c:v>
                </c:pt>
                <c:pt idx="8">
                  <c:v>19221</c:v>
                </c:pt>
                <c:pt idx="9">
                  <c:v>17301</c:v>
                </c:pt>
              </c:numCache>
            </c:numRef>
          </c:yVal>
          <c:smooth val="0"/>
          <c:extLst>
            <c:ext xmlns:c16="http://schemas.microsoft.com/office/drawing/2014/chart" uri="{C3380CC4-5D6E-409C-BE32-E72D297353CC}">
              <c16:uniqueId val="{00000002-C678-41E4-B6C5-9A2C81C21217}"/>
            </c:ext>
          </c:extLst>
        </c:ser>
        <c:ser>
          <c:idx val="3"/>
          <c:order val="3"/>
          <c:tx>
            <c:strRef>
              <c:f>Predictions!$B$9</c:f>
              <c:strCache>
                <c:ptCount val="1"/>
                <c:pt idx="0">
                  <c:v>Overall - Unweighted</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Predictions!$C$4:$L$4</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Predictions!$C$9:$L$9</c:f>
              <c:numCache>
                <c:formatCode>0</c:formatCode>
                <c:ptCount val="10"/>
                <c:pt idx="0">
                  <c:v>25705.764322965035</c:v>
                </c:pt>
                <c:pt idx="1">
                  <c:v>24551.022653893931</c:v>
                </c:pt>
                <c:pt idx="2">
                  <c:v>23448.153720662776</c:v>
                </c:pt>
                <c:pt idx="3">
                  <c:v>22394.827321811284</c:v>
                </c:pt>
                <c:pt idx="4">
                  <c:v>21388.817932040118</c:v>
                </c:pt>
                <c:pt idx="5">
                  <c:v>20428</c:v>
                </c:pt>
                <c:pt idx="6">
                  <c:v>17509</c:v>
                </c:pt>
                <c:pt idx="7">
                  <c:v>19110</c:v>
                </c:pt>
                <c:pt idx="8">
                  <c:v>19221</c:v>
                </c:pt>
                <c:pt idx="9">
                  <c:v>17301</c:v>
                </c:pt>
              </c:numCache>
            </c:numRef>
          </c:yVal>
          <c:smooth val="0"/>
          <c:extLst>
            <c:ext xmlns:c16="http://schemas.microsoft.com/office/drawing/2014/chart" uri="{C3380CC4-5D6E-409C-BE32-E72D297353CC}">
              <c16:uniqueId val="{00000003-C678-41E4-B6C5-9A2C81C21217}"/>
            </c:ext>
          </c:extLst>
        </c:ser>
        <c:ser>
          <c:idx val="4"/>
          <c:order val="4"/>
          <c:tx>
            <c:strRef>
              <c:f>Predictions!$B$10</c:f>
              <c:strCache>
                <c:ptCount val="1"/>
                <c:pt idx="0">
                  <c:v>Locality Projection</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Predictions!$C$4:$L$4</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Predictions!$C$10:$L$10</c:f>
              <c:numCache>
                <c:formatCode>0</c:formatCode>
                <c:ptCount val="10"/>
                <c:pt idx="0">
                  <c:v>21752.518697891312</c:v>
                </c:pt>
                <c:pt idx="1">
                  <c:v>21477.785899500712</c:v>
                </c:pt>
                <c:pt idx="2">
                  <c:v>21208.065714464152</c:v>
                </c:pt>
                <c:pt idx="3">
                  <c:v>20943.259070749824</c:v>
                </c:pt>
                <c:pt idx="4">
                  <c:v>20683.268880457508</c:v>
                </c:pt>
                <c:pt idx="5">
                  <c:v>20428</c:v>
                </c:pt>
                <c:pt idx="6">
                  <c:v>17509</c:v>
                </c:pt>
                <c:pt idx="7">
                  <c:v>19110</c:v>
                </c:pt>
                <c:pt idx="8">
                  <c:v>19221</c:v>
                </c:pt>
                <c:pt idx="9">
                  <c:v>17301</c:v>
                </c:pt>
              </c:numCache>
            </c:numRef>
          </c:yVal>
          <c:smooth val="0"/>
          <c:extLst>
            <c:ext xmlns:c16="http://schemas.microsoft.com/office/drawing/2014/chart" uri="{C3380CC4-5D6E-409C-BE32-E72D297353CC}">
              <c16:uniqueId val="{00000004-C678-41E4-B6C5-9A2C81C21217}"/>
            </c:ext>
          </c:extLst>
        </c:ser>
        <c:dLbls>
          <c:showLegendKey val="0"/>
          <c:showVal val="0"/>
          <c:showCatName val="0"/>
          <c:showSerName val="0"/>
          <c:showPercent val="0"/>
          <c:showBubbleSize val="0"/>
        </c:dLbls>
        <c:axId val="510100160"/>
        <c:axId val="510099832"/>
      </c:scatterChart>
      <c:valAx>
        <c:axId val="5101001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099832"/>
        <c:crosses val="autoZero"/>
        <c:crossBetween val="midCat"/>
      </c:valAx>
      <c:valAx>
        <c:axId val="510099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01001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CoS Growth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Predictions!$B$39</c:f>
              <c:strCache>
                <c:ptCount val="1"/>
                <c:pt idx="0">
                  <c:v>Average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Predictions!$C$37:$L$37</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Predictions!$C$39:$L$39</c:f>
              <c:numCache>
                <c:formatCode>0</c:formatCode>
                <c:ptCount val="10"/>
                <c:pt idx="0">
                  <c:v>17261.160854941503</c:v>
                </c:pt>
                <c:pt idx="1">
                  <c:v>16753.787542592738</c:v>
                </c:pt>
                <c:pt idx="2">
                  <c:v>16257.128316815608</c:v>
                </c:pt>
                <c:pt idx="3">
                  <c:v>15770.729597597139</c:v>
                </c:pt>
                <c:pt idx="4">
                  <c:v>14993.499099487166</c:v>
                </c:pt>
                <c:pt idx="5">
                  <c:v>15338</c:v>
                </c:pt>
                <c:pt idx="6">
                  <c:v>13057</c:v>
                </c:pt>
                <c:pt idx="7">
                  <c:v>14163</c:v>
                </c:pt>
                <c:pt idx="8">
                  <c:v>14360</c:v>
                </c:pt>
                <c:pt idx="9">
                  <c:v>13021</c:v>
                </c:pt>
              </c:numCache>
            </c:numRef>
          </c:yVal>
          <c:smooth val="0"/>
          <c:extLst>
            <c:ext xmlns:c16="http://schemas.microsoft.com/office/drawing/2014/chart" uri="{C3380CC4-5D6E-409C-BE32-E72D297353CC}">
              <c16:uniqueId val="{00000000-8BDF-4C64-BB18-706E0F301C32}"/>
            </c:ext>
          </c:extLst>
        </c:ser>
        <c:ser>
          <c:idx val="1"/>
          <c:order val="1"/>
          <c:tx>
            <c:strRef>
              <c:f>Predictions!$B$40</c:f>
              <c:strCache>
                <c:ptCount val="1"/>
                <c:pt idx="0">
                  <c:v>Segment Roll-Up</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Predictions!$C$37:$L$37</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Predictions!$C$40:$L$40</c:f>
              <c:numCache>
                <c:formatCode>0</c:formatCode>
                <c:ptCount val="10"/>
                <c:pt idx="0">
                  <c:v>14681.028126217174</c:v>
                </c:pt>
                <c:pt idx="1">
                  <c:v>14535.120228461488</c:v>
                </c:pt>
                <c:pt idx="2">
                  <c:v>14383.665932307367</c:v>
                </c:pt>
                <c:pt idx="3">
                  <c:v>14226.751800889109</c:v>
                </c:pt>
                <c:pt idx="4">
                  <c:v>14064.462605330697</c:v>
                </c:pt>
                <c:pt idx="5">
                  <c:v>15338</c:v>
                </c:pt>
                <c:pt idx="6">
                  <c:v>13057</c:v>
                </c:pt>
                <c:pt idx="7">
                  <c:v>14163</c:v>
                </c:pt>
                <c:pt idx="8">
                  <c:v>14360</c:v>
                </c:pt>
                <c:pt idx="9">
                  <c:v>13021</c:v>
                </c:pt>
              </c:numCache>
            </c:numRef>
          </c:yVal>
          <c:smooth val="0"/>
          <c:extLst>
            <c:ext xmlns:c16="http://schemas.microsoft.com/office/drawing/2014/chart" uri="{C3380CC4-5D6E-409C-BE32-E72D297353CC}">
              <c16:uniqueId val="{00000001-8BDF-4C64-BB18-706E0F301C32}"/>
            </c:ext>
          </c:extLst>
        </c:ser>
        <c:ser>
          <c:idx val="2"/>
          <c:order val="2"/>
          <c:tx>
            <c:strRef>
              <c:f>Predictions!$B$41</c:f>
              <c:strCache>
                <c:ptCount val="1"/>
                <c:pt idx="0">
                  <c:v>Segment Roll-Up - %</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Predictions!$C$37:$L$37</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Predictions!$C$41:$L$41</c:f>
              <c:numCache>
                <c:formatCode>0</c:formatCode>
                <c:ptCount val="10"/>
                <c:pt idx="0">
                  <c:v>18248.659602447904</c:v>
                </c:pt>
                <c:pt idx="1">
                  <c:v>17525.122806673935</c:v>
                </c:pt>
                <c:pt idx="2">
                  <c:v>16830.412627333098</c:v>
                </c:pt>
                <c:pt idx="3">
                  <c:v>16163.389713525443</c:v>
                </c:pt>
                <c:pt idx="4">
                  <c:v>14019.674234130254</c:v>
                </c:pt>
                <c:pt idx="5">
                  <c:v>15338</c:v>
                </c:pt>
                <c:pt idx="6">
                  <c:v>13057</c:v>
                </c:pt>
                <c:pt idx="7">
                  <c:v>14163</c:v>
                </c:pt>
                <c:pt idx="8">
                  <c:v>14360</c:v>
                </c:pt>
                <c:pt idx="9">
                  <c:v>13021</c:v>
                </c:pt>
              </c:numCache>
            </c:numRef>
          </c:yVal>
          <c:smooth val="0"/>
          <c:extLst>
            <c:ext xmlns:c16="http://schemas.microsoft.com/office/drawing/2014/chart" uri="{C3380CC4-5D6E-409C-BE32-E72D297353CC}">
              <c16:uniqueId val="{00000002-8BDF-4C64-BB18-706E0F301C32}"/>
            </c:ext>
          </c:extLst>
        </c:ser>
        <c:ser>
          <c:idx val="3"/>
          <c:order val="3"/>
          <c:tx>
            <c:strRef>
              <c:f>Predictions!$B$42</c:f>
              <c:strCache>
                <c:ptCount val="1"/>
                <c:pt idx="0">
                  <c:v>Incr. Growth</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Predictions!$C$37:$L$37</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Predictions!$C$42:$L$42</c:f>
              <c:numCache>
                <c:formatCode>0</c:formatCode>
                <c:ptCount val="10"/>
                <c:pt idx="0">
                  <c:v>18234.25</c:v>
                </c:pt>
                <c:pt idx="1">
                  <c:v>17655</c:v>
                </c:pt>
                <c:pt idx="2">
                  <c:v>17075.75</c:v>
                </c:pt>
                <c:pt idx="3">
                  <c:v>16496.5</c:v>
                </c:pt>
                <c:pt idx="4">
                  <c:v>15917.25</c:v>
                </c:pt>
                <c:pt idx="5">
                  <c:v>15338</c:v>
                </c:pt>
                <c:pt idx="6">
                  <c:v>13057</c:v>
                </c:pt>
                <c:pt idx="7">
                  <c:v>14163</c:v>
                </c:pt>
                <c:pt idx="8">
                  <c:v>14360</c:v>
                </c:pt>
                <c:pt idx="9">
                  <c:v>13021</c:v>
                </c:pt>
              </c:numCache>
            </c:numRef>
          </c:yVal>
          <c:smooth val="0"/>
          <c:extLst>
            <c:ext xmlns:c16="http://schemas.microsoft.com/office/drawing/2014/chart" uri="{C3380CC4-5D6E-409C-BE32-E72D297353CC}">
              <c16:uniqueId val="{00000003-8BDF-4C64-BB18-706E0F301C32}"/>
            </c:ext>
          </c:extLst>
        </c:ser>
        <c:ser>
          <c:idx val="4"/>
          <c:order val="4"/>
          <c:tx>
            <c:strRef>
              <c:f>Predictions!$B$43</c:f>
              <c:strCache>
                <c:ptCount val="1"/>
                <c:pt idx="0">
                  <c:v>Incr. Growth - Slope</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Predictions!$C$37:$L$37</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Predictions!$C$43:$L$43</c:f>
              <c:numCache>
                <c:formatCode>0</c:formatCode>
                <c:ptCount val="10"/>
                <c:pt idx="0">
                  <c:v>16319.500000000116</c:v>
                </c:pt>
                <c:pt idx="1">
                  <c:v>15986.40000000014</c:v>
                </c:pt>
                <c:pt idx="2">
                  <c:v>15653.300000000047</c:v>
                </c:pt>
                <c:pt idx="3">
                  <c:v>15320.20000000007</c:v>
                </c:pt>
                <c:pt idx="4">
                  <c:v>14987.100000000093</c:v>
                </c:pt>
                <c:pt idx="5">
                  <c:v>15338</c:v>
                </c:pt>
                <c:pt idx="6">
                  <c:v>13057</c:v>
                </c:pt>
                <c:pt idx="7">
                  <c:v>14163</c:v>
                </c:pt>
                <c:pt idx="8">
                  <c:v>14360</c:v>
                </c:pt>
                <c:pt idx="9">
                  <c:v>13021</c:v>
                </c:pt>
              </c:numCache>
            </c:numRef>
          </c:yVal>
          <c:smooth val="0"/>
          <c:extLst>
            <c:ext xmlns:c16="http://schemas.microsoft.com/office/drawing/2014/chart" uri="{C3380CC4-5D6E-409C-BE32-E72D297353CC}">
              <c16:uniqueId val="{00000004-8BDF-4C64-BB18-706E0F301C32}"/>
            </c:ext>
          </c:extLst>
        </c:ser>
        <c:ser>
          <c:idx val="5"/>
          <c:order val="5"/>
          <c:tx>
            <c:strRef>
              <c:f>Predictions!$B$44</c:f>
              <c:strCache>
                <c:ptCount val="1"/>
                <c:pt idx="0">
                  <c:v>% Growth</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Predictions!$C$37:$L$37</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Predictions!$C$44:$L$44</c:f>
              <c:numCache>
                <c:formatCode>0</c:formatCode>
                <c:ptCount val="10"/>
                <c:pt idx="0">
                  <c:v>18822.366546042333</c:v>
                </c:pt>
                <c:pt idx="1">
                  <c:v>18067.294677828122</c:v>
                </c:pt>
                <c:pt idx="2">
                  <c:v>17342.513024437529</c:v>
                </c:pt>
                <c:pt idx="3">
                  <c:v>16646.806473571072</c:v>
                </c:pt>
                <c:pt idx="4">
                  <c:v>15979.008657974784</c:v>
                </c:pt>
                <c:pt idx="5">
                  <c:v>15338</c:v>
                </c:pt>
                <c:pt idx="6">
                  <c:v>13057</c:v>
                </c:pt>
                <c:pt idx="7">
                  <c:v>14163</c:v>
                </c:pt>
                <c:pt idx="8">
                  <c:v>14360</c:v>
                </c:pt>
                <c:pt idx="9">
                  <c:v>13021</c:v>
                </c:pt>
              </c:numCache>
            </c:numRef>
          </c:yVal>
          <c:smooth val="0"/>
          <c:extLst>
            <c:ext xmlns:c16="http://schemas.microsoft.com/office/drawing/2014/chart" uri="{C3380CC4-5D6E-409C-BE32-E72D297353CC}">
              <c16:uniqueId val="{00000006-8BDF-4C64-BB18-706E0F301C32}"/>
            </c:ext>
          </c:extLst>
        </c:ser>
        <c:dLbls>
          <c:showLegendKey val="0"/>
          <c:showVal val="0"/>
          <c:showCatName val="0"/>
          <c:showSerName val="0"/>
          <c:showPercent val="0"/>
          <c:showBubbleSize val="0"/>
        </c:dLbls>
        <c:axId val="651887120"/>
        <c:axId val="651887448"/>
      </c:scatterChart>
      <c:valAx>
        <c:axId val="6518871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87448"/>
        <c:crosses val="autoZero"/>
        <c:crossBetween val="midCat"/>
      </c:valAx>
      <c:valAx>
        <c:axId val="651887448"/>
        <c:scaling>
          <c:orientation val="minMax"/>
          <c:max val="3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188712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0116009407348"/>
          <c:y val="4.61361014994233E-3"/>
          <c:w val="0.58948385090117361"/>
          <c:h val="0.98111326049641701"/>
        </c:manualLayout>
      </c:layout>
      <c:pieChart>
        <c:varyColors val="1"/>
        <c:ser>
          <c:idx val="0"/>
          <c:order val="0"/>
          <c:explosion val="24"/>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02C-441A-8D94-B9CD07B5BDC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002C-441A-8D94-B9CD07B5BDC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3-002C-441A-8D94-B9CD07B5BDC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4-002C-441A-8D94-B9CD07B5BDC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5-002C-441A-8D94-B9CD07B5BDC2}"/>
              </c:ext>
            </c:extLst>
          </c:dPt>
          <c:dLbls>
            <c:dLbl>
              <c:idx val="0"/>
              <c:layout>
                <c:manualLayout>
                  <c:x val="3.4908136482939632E-2"/>
                  <c:y val="2.6264519703203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002C-441A-8D94-B9CD07B5BDC2}"/>
                </c:ext>
              </c:extLst>
            </c:dLbl>
            <c:dLbl>
              <c:idx val="1"/>
              <c:layout>
                <c:manualLayout>
                  <c:x val="7.5078058070183959E-2"/>
                  <c:y val="-3.876631338037762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002C-441A-8D94-B9CD07B5BDC2}"/>
                </c:ext>
              </c:extLst>
            </c:dLbl>
            <c:dLbl>
              <c:idx val="2"/>
              <c:layout>
                <c:manualLayout>
                  <c:x val="7.173877693562733E-2"/>
                  <c:y val="-2.38403763543397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002C-441A-8D94-B9CD07B5BDC2}"/>
                </c:ext>
              </c:extLst>
            </c:dLbl>
            <c:dLbl>
              <c:idx val="3"/>
              <c:layout>
                <c:manualLayout>
                  <c:x val="8.5569542892377434E-2"/>
                  <c:y val="6.0739812367744685E-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002C-441A-8D94-B9CD07B5BDC2}"/>
                </c:ext>
              </c:extLst>
            </c:dLbl>
            <c:dLbl>
              <c:idx val="4"/>
              <c:layout>
                <c:manualLayout>
                  <c:x val="0.21315315315315314"/>
                  <c:y val="5.903749920533289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02C-441A-8D94-B9CD07B5BDC2}"/>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Predictions!$B$185:$B$189</c:f>
              <c:strCache>
                <c:ptCount val="5"/>
                <c:pt idx="0">
                  <c:v>PACCAR</c:v>
                </c:pt>
                <c:pt idx="1">
                  <c:v>Navistar</c:v>
                </c:pt>
                <c:pt idx="2">
                  <c:v>Daimler</c:v>
                </c:pt>
                <c:pt idx="3">
                  <c:v>Fiat Chrysler</c:v>
                </c:pt>
                <c:pt idx="4">
                  <c:v>All Other</c:v>
                </c:pt>
              </c:strCache>
            </c:strRef>
          </c:cat>
          <c:val>
            <c:numRef>
              <c:f>Predictions!$H$185:$H$189</c:f>
              <c:numCache>
                <c:formatCode>0</c:formatCode>
                <c:ptCount val="5"/>
                <c:pt idx="0">
                  <c:v>2859.92</c:v>
                </c:pt>
                <c:pt idx="1">
                  <c:v>1293.7733333333335</c:v>
                </c:pt>
                <c:pt idx="2">
                  <c:v>1293.7733333333335</c:v>
                </c:pt>
                <c:pt idx="3">
                  <c:v>1293.7733333333335</c:v>
                </c:pt>
                <c:pt idx="4">
                  <c:v>13686.759999999998</c:v>
                </c:pt>
              </c:numCache>
            </c:numRef>
          </c:val>
          <c:extLst>
            <c:ext xmlns:c16="http://schemas.microsoft.com/office/drawing/2014/chart" uri="{C3380CC4-5D6E-409C-BE32-E72D297353CC}">
              <c16:uniqueId val="{00000000-002C-441A-8D94-B9CD07B5BDC2}"/>
            </c:ext>
          </c:extLst>
        </c:ser>
        <c:dLbls>
          <c:dLblPos val="bestFit"/>
          <c:showLegendKey val="0"/>
          <c:showVal val="1"/>
          <c:showCatName val="0"/>
          <c:showSerName val="0"/>
          <c:showPercent val="0"/>
          <c:showBubbleSize val="0"/>
          <c:showLeaderLines val="1"/>
        </c:dLbls>
        <c:firstSliceAng val="3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Projected Cumulative Earnings Growth</a:t>
            </a:r>
            <a:r>
              <a:rPr lang="en-US" baseline="0"/>
              <a:t> of Key CMI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Predictions!$N$163</c:f>
              <c:strCache>
                <c:ptCount val="1"/>
                <c:pt idx="0">
                  <c:v>PACCAR</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Predictions!$O$162:$T$162</c:f>
              <c:numCache>
                <c:formatCode>General</c:formatCode>
                <c:ptCount val="6"/>
                <c:pt idx="0">
                  <c:v>2022</c:v>
                </c:pt>
                <c:pt idx="1">
                  <c:v>2021</c:v>
                </c:pt>
                <c:pt idx="2">
                  <c:v>2020</c:v>
                </c:pt>
                <c:pt idx="3">
                  <c:v>2019</c:v>
                </c:pt>
                <c:pt idx="4">
                  <c:v>2018</c:v>
                </c:pt>
                <c:pt idx="5">
                  <c:v>2017</c:v>
                </c:pt>
              </c:numCache>
            </c:numRef>
          </c:xVal>
          <c:yVal>
            <c:numRef>
              <c:f>Predictions!$O$163:$T$163</c:f>
              <c:numCache>
                <c:formatCode>0.000</c:formatCode>
                <c:ptCount val="6"/>
                <c:pt idx="0">
                  <c:v>1.3092621786882359</c:v>
                </c:pt>
                <c:pt idx="1">
                  <c:v>1.2372097111419262</c:v>
                </c:pt>
                <c:pt idx="2">
                  <c:v>1.1691224983505608</c:v>
                </c:pt>
                <c:pt idx="3">
                  <c:v>1.2023861886958436</c:v>
                </c:pt>
                <c:pt idx="4">
                  <c:v>1.1870464042225644</c:v>
                </c:pt>
                <c:pt idx="5" formatCode="0.00">
                  <c:v>1</c:v>
                </c:pt>
              </c:numCache>
            </c:numRef>
          </c:yVal>
          <c:smooth val="0"/>
          <c:extLst>
            <c:ext xmlns:c16="http://schemas.microsoft.com/office/drawing/2014/chart" uri="{C3380CC4-5D6E-409C-BE32-E72D297353CC}">
              <c16:uniqueId val="{00000000-3CDC-4D4A-AF51-A7E5EB8973CD}"/>
            </c:ext>
          </c:extLst>
        </c:ser>
        <c:ser>
          <c:idx val="1"/>
          <c:order val="1"/>
          <c:tx>
            <c:strRef>
              <c:f>Predictions!$N$164</c:f>
              <c:strCache>
                <c:ptCount val="1"/>
                <c:pt idx="0">
                  <c:v>Navistar</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Predictions!$O$162:$T$162</c:f>
              <c:numCache>
                <c:formatCode>General</c:formatCode>
                <c:ptCount val="6"/>
                <c:pt idx="0">
                  <c:v>2022</c:v>
                </c:pt>
                <c:pt idx="1">
                  <c:v>2021</c:v>
                </c:pt>
                <c:pt idx="2">
                  <c:v>2020</c:v>
                </c:pt>
                <c:pt idx="3">
                  <c:v>2019</c:v>
                </c:pt>
                <c:pt idx="4">
                  <c:v>2018</c:v>
                </c:pt>
                <c:pt idx="5">
                  <c:v>2017</c:v>
                </c:pt>
              </c:numCache>
            </c:numRef>
          </c:xVal>
          <c:yVal>
            <c:numRef>
              <c:f>Predictions!$O$164:$T$164</c:f>
              <c:numCache>
                <c:formatCode>0.000</c:formatCode>
                <c:ptCount val="6"/>
                <c:pt idx="0">
                  <c:v>1.0881300883981935</c:v>
                </c:pt>
                <c:pt idx="1">
                  <c:v>1.1065118826175508</c:v>
                </c:pt>
                <c:pt idx="2">
                  <c:v>1.1252042007001166</c:v>
                </c:pt>
                <c:pt idx="3">
                  <c:v>1.1821470245040839</c:v>
                </c:pt>
                <c:pt idx="4">
                  <c:v>1.1539089848308051</c:v>
                </c:pt>
                <c:pt idx="5" formatCode="0.00">
                  <c:v>1</c:v>
                </c:pt>
              </c:numCache>
            </c:numRef>
          </c:yVal>
          <c:smooth val="0"/>
          <c:extLst>
            <c:ext xmlns:c16="http://schemas.microsoft.com/office/drawing/2014/chart" uri="{C3380CC4-5D6E-409C-BE32-E72D297353CC}">
              <c16:uniqueId val="{00000001-3CDC-4D4A-AF51-A7E5EB8973CD}"/>
            </c:ext>
          </c:extLst>
        </c:ser>
        <c:ser>
          <c:idx val="2"/>
          <c:order val="2"/>
          <c:tx>
            <c:strRef>
              <c:f>Predictions!$N$165</c:f>
              <c:strCache>
                <c:ptCount val="1"/>
                <c:pt idx="0">
                  <c:v>Daimler</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Predictions!$O$162:$T$162</c:f>
              <c:numCache>
                <c:formatCode>General</c:formatCode>
                <c:ptCount val="6"/>
                <c:pt idx="0">
                  <c:v>2022</c:v>
                </c:pt>
                <c:pt idx="1">
                  <c:v>2021</c:v>
                </c:pt>
                <c:pt idx="2">
                  <c:v>2020</c:v>
                </c:pt>
                <c:pt idx="3">
                  <c:v>2019</c:v>
                </c:pt>
                <c:pt idx="4">
                  <c:v>2018</c:v>
                </c:pt>
                <c:pt idx="5">
                  <c:v>2017</c:v>
                </c:pt>
              </c:numCache>
            </c:numRef>
          </c:xVal>
          <c:yVal>
            <c:numRef>
              <c:f>Predictions!$O$165:$T$165</c:f>
              <c:numCache>
                <c:formatCode>0.000</c:formatCode>
                <c:ptCount val="6"/>
                <c:pt idx="0">
                  <c:v>1.2376024363222318</c:v>
                </c:pt>
                <c:pt idx="1">
                  <c:v>1.1636720869584891</c:v>
                </c:pt>
                <c:pt idx="2">
                  <c:v>1.0941580965131139</c:v>
                </c:pt>
                <c:pt idx="3">
                  <c:v>1.0623258078257165</c:v>
                </c:pt>
                <c:pt idx="4">
                  <c:v>1.0354165398892472</c:v>
                </c:pt>
                <c:pt idx="5" formatCode="0.00">
                  <c:v>1</c:v>
                </c:pt>
              </c:numCache>
            </c:numRef>
          </c:yVal>
          <c:smooth val="0"/>
          <c:extLst>
            <c:ext xmlns:c16="http://schemas.microsoft.com/office/drawing/2014/chart" uri="{C3380CC4-5D6E-409C-BE32-E72D297353CC}">
              <c16:uniqueId val="{00000002-3CDC-4D4A-AF51-A7E5EB8973CD}"/>
            </c:ext>
          </c:extLst>
        </c:ser>
        <c:ser>
          <c:idx val="3"/>
          <c:order val="3"/>
          <c:tx>
            <c:strRef>
              <c:f>Predictions!$N$166</c:f>
              <c:strCache>
                <c:ptCount val="1"/>
                <c:pt idx="0">
                  <c:v>Fiat Chrysler</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Predictions!$O$162:$T$162</c:f>
              <c:numCache>
                <c:formatCode>General</c:formatCode>
                <c:ptCount val="6"/>
                <c:pt idx="0">
                  <c:v>2022</c:v>
                </c:pt>
                <c:pt idx="1">
                  <c:v>2021</c:v>
                </c:pt>
                <c:pt idx="2">
                  <c:v>2020</c:v>
                </c:pt>
                <c:pt idx="3">
                  <c:v>2019</c:v>
                </c:pt>
                <c:pt idx="4">
                  <c:v>2018</c:v>
                </c:pt>
                <c:pt idx="5">
                  <c:v>2017</c:v>
                </c:pt>
              </c:numCache>
            </c:numRef>
          </c:xVal>
          <c:yVal>
            <c:numRef>
              <c:f>Predictions!$O$166:$T$166</c:f>
              <c:numCache>
                <c:formatCode>0.000</c:formatCode>
                <c:ptCount val="6"/>
                <c:pt idx="0">
                  <c:v>1.148597412578396</c:v>
                </c:pt>
                <c:pt idx="1">
                  <c:v>1.1165249464231495</c:v>
                </c:pt>
                <c:pt idx="2">
                  <c:v>1.0853480447833848</c:v>
                </c:pt>
                <c:pt idx="3">
                  <c:v>1.065795878630537</c:v>
                </c:pt>
                <c:pt idx="4">
                  <c:v>1.0449186002487967</c:v>
                </c:pt>
                <c:pt idx="5" formatCode="0.00">
                  <c:v>1</c:v>
                </c:pt>
              </c:numCache>
            </c:numRef>
          </c:yVal>
          <c:smooth val="0"/>
          <c:extLst>
            <c:ext xmlns:c16="http://schemas.microsoft.com/office/drawing/2014/chart" uri="{C3380CC4-5D6E-409C-BE32-E72D297353CC}">
              <c16:uniqueId val="{00000003-3CDC-4D4A-AF51-A7E5EB8973CD}"/>
            </c:ext>
          </c:extLst>
        </c:ser>
        <c:dLbls>
          <c:showLegendKey val="0"/>
          <c:showVal val="0"/>
          <c:showCatName val="0"/>
          <c:showSerName val="0"/>
          <c:showPercent val="0"/>
          <c:showBubbleSize val="0"/>
        </c:dLbls>
        <c:axId val="360518744"/>
        <c:axId val="360519728"/>
      </c:scatterChart>
      <c:valAx>
        <c:axId val="360518744"/>
        <c:scaling>
          <c:orientation val="minMax"/>
          <c:max val="2022"/>
          <c:min val="201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519728"/>
        <c:crosses val="autoZero"/>
        <c:crossBetween val="midCat"/>
      </c:valAx>
      <c:valAx>
        <c:axId val="360519728"/>
        <c:scaling>
          <c:orientation val="minMax"/>
          <c:min val="0.8"/>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5187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Non-Controlling</a:t>
            </a:r>
            <a:r>
              <a:rPr lang="en-US" baseline="0"/>
              <a:t> Interests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'Income Statement (Y)'!$C$1:$L$1</c:f>
              <c:numCache>
                <c:formatCode>0</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'Income Statement (Y)'!$C$36:$L$36</c:f>
              <c:numCache>
                <c:formatCode>0</c:formatCode>
                <c:ptCount val="10"/>
                <c:pt idx="0">
                  <c:v>32.091844378668078</c:v>
                </c:pt>
                <c:pt idx="1">
                  <c:v>36.609523809523807</c:v>
                </c:pt>
                <c:pt idx="2">
                  <c:v>41.763172528998652</c:v>
                </c:pt>
                <c:pt idx="3">
                  <c:v>47.642318123601797</c:v>
                </c:pt>
                <c:pt idx="4">
                  <c:v>54.349091286454012</c:v>
                </c:pt>
                <c:pt idx="5" formatCode="General">
                  <c:v>-5</c:v>
                </c:pt>
                <c:pt idx="6" formatCode="General">
                  <c:v>62</c:v>
                </c:pt>
                <c:pt idx="7" formatCode="General">
                  <c:v>71</c:v>
                </c:pt>
                <c:pt idx="8" formatCode="General">
                  <c:v>85</c:v>
                </c:pt>
                <c:pt idx="9" formatCode="General">
                  <c:v>105</c:v>
                </c:pt>
              </c:numCache>
            </c:numRef>
          </c:yVal>
          <c:smooth val="0"/>
          <c:extLst>
            <c:ext xmlns:c16="http://schemas.microsoft.com/office/drawing/2014/chart" uri="{C3380CC4-5D6E-409C-BE32-E72D297353CC}">
              <c16:uniqueId val="{00000000-4291-4825-91B5-A6F84C541C5C}"/>
            </c:ext>
          </c:extLst>
        </c:ser>
        <c:dLbls>
          <c:showLegendKey val="0"/>
          <c:showVal val="0"/>
          <c:showCatName val="0"/>
          <c:showSerName val="0"/>
          <c:showPercent val="0"/>
          <c:showBubbleSize val="0"/>
        </c:dLbls>
        <c:axId val="568073008"/>
        <c:axId val="568073336"/>
      </c:scatterChart>
      <c:valAx>
        <c:axId val="56807300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073336"/>
        <c:crosses val="autoZero"/>
        <c:crossBetween val="midCat"/>
      </c:valAx>
      <c:valAx>
        <c:axId val="5680733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80730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 EBIT by Segment ($M)</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'Segment Earnings'!$B$124</c:f>
              <c:strCache>
                <c:ptCount val="1"/>
                <c:pt idx="0">
                  <c:v>Total EBIT</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Earnings'!$H$124:$L$124</c:f>
              <c:numCache>
                <c:formatCode>General</c:formatCode>
                <c:ptCount val="5"/>
                <c:pt idx="0">
                  <c:v>2391</c:v>
                </c:pt>
                <c:pt idx="1">
                  <c:v>1982</c:v>
                </c:pt>
                <c:pt idx="2">
                  <c:v>2110</c:v>
                </c:pt>
                <c:pt idx="3">
                  <c:v>2568</c:v>
                </c:pt>
                <c:pt idx="4">
                  <c:v>2174</c:v>
                </c:pt>
              </c:numCache>
            </c:numRef>
          </c:yVal>
          <c:smooth val="0"/>
          <c:extLst>
            <c:ext xmlns:c16="http://schemas.microsoft.com/office/drawing/2014/chart" uri="{C3380CC4-5D6E-409C-BE32-E72D297353CC}">
              <c16:uniqueId val="{00000000-E8D9-4C1E-A70F-EA7E9B61BDA7}"/>
            </c:ext>
          </c:extLst>
        </c:ser>
        <c:ser>
          <c:idx val="1"/>
          <c:order val="1"/>
          <c:tx>
            <c:strRef>
              <c:f>'Segment Earnings'!$B$125</c:f>
              <c:strCache>
                <c:ptCount val="1"/>
                <c:pt idx="0">
                  <c:v>Engine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Earnings'!$H$125:$L$125</c:f>
              <c:numCache>
                <c:formatCode>General</c:formatCode>
                <c:ptCount val="5"/>
                <c:pt idx="0">
                  <c:v>959</c:v>
                </c:pt>
                <c:pt idx="1">
                  <c:v>686</c:v>
                </c:pt>
                <c:pt idx="2">
                  <c:v>636</c:v>
                </c:pt>
                <c:pt idx="3">
                  <c:v>1225</c:v>
                </c:pt>
                <c:pt idx="4">
                  <c:v>1041</c:v>
                </c:pt>
              </c:numCache>
            </c:numRef>
          </c:yVal>
          <c:smooth val="0"/>
          <c:extLst>
            <c:ext xmlns:c16="http://schemas.microsoft.com/office/drawing/2014/chart" uri="{C3380CC4-5D6E-409C-BE32-E72D297353CC}">
              <c16:uniqueId val="{00000001-E8D9-4C1E-A70F-EA7E9B61BDA7}"/>
            </c:ext>
          </c:extLst>
        </c:ser>
        <c:ser>
          <c:idx val="2"/>
          <c:order val="2"/>
          <c:tx>
            <c:strRef>
              <c:f>'Segment Earnings'!$B$126</c:f>
              <c:strCache>
                <c:ptCount val="1"/>
                <c:pt idx="0">
                  <c:v>Distribution</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Earnings'!$H$126:$L$126</c:f>
              <c:numCache>
                <c:formatCode>General</c:formatCode>
                <c:ptCount val="5"/>
                <c:pt idx="0">
                  <c:v>384</c:v>
                </c:pt>
                <c:pt idx="1">
                  <c:v>392</c:v>
                </c:pt>
                <c:pt idx="2">
                  <c:v>412</c:v>
                </c:pt>
                <c:pt idx="3">
                  <c:v>491</c:v>
                </c:pt>
                <c:pt idx="4">
                  <c:v>388</c:v>
                </c:pt>
              </c:numCache>
            </c:numRef>
          </c:yVal>
          <c:smooth val="0"/>
          <c:extLst>
            <c:ext xmlns:c16="http://schemas.microsoft.com/office/drawing/2014/chart" uri="{C3380CC4-5D6E-409C-BE32-E72D297353CC}">
              <c16:uniqueId val="{00000002-E8D9-4C1E-A70F-EA7E9B61BDA7}"/>
            </c:ext>
          </c:extLst>
        </c:ser>
        <c:ser>
          <c:idx val="3"/>
          <c:order val="3"/>
          <c:tx>
            <c:strRef>
              <c:f>'Segment Earnings'!$B$127</c:f>
              <c:strCache>
                <c:ptCount val="1"/>
                <c:pt idx="0">
                  <c:v>Components</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Earnings'!$H$127:$L$127</c:f>
              <c:numCache>
                <c:formatCode>General</c:formatCode>
                <c:ptCount val="5"/>
                <c:pt idx="0">
                  <c:v>754</c:v>
                </c:pt>
                <c:pt idx="1">
                  <c:v>641</c:v>
                </c:pt>
                <c:pt idx="2">
                  <c:v>727</c:v>
                </c:pt>
                <c:pt idx="3">
                  <c:v>684</c:v>
                </c:pt>
                <c:pt idx="4">
                  <c:v>527</c:v>
                </c:pt>
              </c:numCache>
            </c:numRef>
          </c:yVal>
          <c:smooth val="0"/>
          <c:extLst>
            <c:ext xmlns:c16="http://schemas.microsoft.com/office/drawing/2014/chart" uri="{C3380CC4-5D6E-409C-BE32-E72D297353CC}">
              <c16:uniqueId val="{00000003-E8D9-4C1E-A70F-EA7E9B61BDA7}"/>
            </c:ext>
          </c:extLst>
        </c:ser>
        <c:ser>
          <c:idx val="4"/>
          <c:order val="4"/>
          <c:tx>
            <c:strRef>
              <c:f>'Segment Earnings'!$B$128</c:f>
              <c:strCache>
                <c:ptCount val="1"/>
                <c:pt idx="0">
                  <c:v>Power Systems</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Earnings'!$H$128:$L$128</c:f>
              <c:numCache>
                <c:formatCode>General</c:formatCode>
                <c:ptCount val="5"/>
                <c:pt idx="0">
                  <c:v>294</c:v>
                </c:pt>
                <c:pt idx="1">
                  <c:v>263</c:v>
                </c:pt>
                <c:pt idx="2">
                  <c:v>335</c:v>
                </c:pt>
                <c:pt idx="3">
                  <c:v>168</c:v>
                </c:pt>
                <c:pt idx="4">
                  <c:v>218</c:v>
                </c:pt>
              </c:numCache>
            </c:numRef>
          </c:yVal>
          <c:smooth val="0"/>
          <c:extLst>
            <c:ext xmlns:c16="http://schemas.microsoft.com/office/drawing/2014/chart" uri="{C3380CC4-5D6E-409C-BE32-E72D297353CC}">
              <c16:uniqueId val="{00000006-E8D9-4C1E-A70F-EA7E9B61BDA7}"/>
            </c:ext>
          </c:extLst>
        </c:ser>
        <c:dLbls>
          <c:showLegendKey val="0"/>
          <c:showVal val="0"/>
          <c:showCatName val="0"/>
          <c:showSerName val="0"/>
          <c:showPercent val="0"/>
          <c:showBubbleSize val="0"/>
        </c:dLbls>
        <c:axId val="692992392"/>
        <c:axId val="692992720"/>
      </c:scatterChart>
      <c:valAx>
        <c:axId val="692992392"/>
        <c:scaling>
          <c:orientation val="minMax"/>
          <c:max val="2017"/>
          <c:min val="2013"/>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992720"/>
        <c:crosses val="autoZero"/>
        <c:crossBetween val="midCat"/>
        <c:majorUnit val="1"/>
      </c:valAx>
      <c:valAx>
        <c:axId val="692992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2992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r>
              <a:rPr lang="en-US" baseline="0"/>
              <a:t> Net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'Segment Earnings'!$B$132</c:f>
              <c:strCache>
                <c:ptCount val="1"/>
                <c:pt idx="0">
                  <c:v>Total Sales</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Earnings'!$H$132:$L$132</c:f>
              <c:numCache>
                <c:formatCode>0</c:formatCode>
                <c:ptCount val="5"/>
                <c:pt idx="0">
                  <c:v>20428</c:v>
                </c:pt>
                <c:pt idx="1">
                  <c:v>17509</c:v>
                </c:pt>
                <c:pt idx="2">
                  <c:v>18774</c:v>
                </c:pt>
                <c:pt idx="3">
                  <c:v>18939</c:v>
                </c:pt>
                <c:pt idx="4">
                  <c:v>17795</c:v>
                </c:pt>
              </c:numCache>
            </c:numRef>
          </c:yVal>
          <c:smooth val="0"/>
          <c:extLst>
            <c:ext xmlns:c16="http://schemas.microsoft.com/office/drawing/2014/chart" uri="{C3380CC4-5D6E-409C-BE32-E72D297353CC}">
              <c16:uniqueId val="{00000000-B09E-4A2F-AC8A-A0DDC39FACB7}"/>
            </c:ext>
          </c:extLst>
        </c:ser>
        <c:ser>
          <c:idx val="1"/>
          <c:order val="1"/>
          <c:tx>
            <c:strRef>
              <c:f>'Segment Earnings'!$B$133</c:f>
              <c:strCache>
                <c:ptCount val="1"/>
                <c:pt idx="0">
                  <c:v>Engine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Earnings'!$H$133:$L$133</c:f>
              <c:numCache>
                <c:formatCode>0</c:formatCode>
                <c:ptCount val="5"/>
                <c:pt idx="0">
                  <c:v>6661</c:v>
                </c:pt>
                <c:pt idx="1">
                  <c:v>5774</c:v>
                </c:pt>
                <c:pt idx="2">
                  <c:v>6733</c:v>
                </c:pt>
                <c:pt idx="3">
                  <c:v>8437</c:v>
                </c:pt>
                <c:pt idx="4">
                  <c:v>8270</c:v>
                </c:pt>
              </c:numCache>
            </c:numRef>
          </c:yVal>
          <c:smooth val="0"/>
          <c:extLst>
            <c:ext xmlns:c16="http://schemas.microsoft.com/office/drawing/2014/chart" uri="{C3380CC4-5D6E-409C-BE32-E72D297353CC}">
              <c16:uniqueId val="{00000001-B09E-4A2F-AC8A-A0DDC39FACB7}"/>
            </c:ext>
          </c:extLst>
        </c:ser>
        <c:ser>
          <c:idx val="2"/>
          <c:order val="2"/>
          <c:tx>
            <c:strRef>
              <c:f>'Segment Earnings'!$B$134</c:f>
              <c:strCache>
                <c:ptCount val="1"/>
                <c:pt idx="0">
                  <c:v>Distribution</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Earnings'!$H$134:$L$134</c:f>
              <c:numCache>
                <c:formatCode>0</c:formatCode>
                <c:ptCount val="5"/>
                <c:pt idx="0">
                  <c:v>7029</c:v>
                </c:pt>
                <c:pt idx="1">
                  <c:v>6157</c:v>
                </c:pt>
                <c:pt idx="2">
                  <c:v>6198</c:v>
                </c:pt>
                <c:pt idx="3">
                  <c:v>5135</c:v>
                </c:pt>
                <c:pt idx="4">
                  <c:v>3726</c:v>
                </c:pt>
              </c:numCache>
            </c:numRef>
          </c:yVal>
          <c:smooth val="0"/>
          <c:extLst>
            <c:ext xmlns:c16="http://schemas.microsoft.com/office/drawing/2014/chart" uri="{C3380CC4-5D6E-409C-BE32-E72D297353CC}">
              <c16:uniqueId val="{00000002-B09E-4A2F-AC8A-A0DDC39FACB7}"/>
            </c:ext>
          </c:extLst>
        </c:ser>
        <c:ser>
          <c:idx val="3"/>
          <c:order val="3"/>
          <c:tx>
            <c:strRef>
              <c:f>'Segment Earnings'!$B$135</c:f>
              <c:strCache>
                <c:ptCount val="1"/>
                <c:pt idx="0">
                  <c:v>Components</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Earnings'!$H$135:$L$135</c:f>
              <c:numCache>
                <c:formatCode>0</c:formatCode>
                <c:ptCount val="5"/>
                <c:pt idx="0">
                  <c:v>4363</c:v>
                </c:pt>
                <c:pt idx="1">
                  <c:v>3514</c:v>
                </c:pt>
                <c:pt idx="2">
                  <c:v>3409</c:v>
                </c:pt>
                <c:pt idx="3">
                  <c:v>3509</c:v>
                </c:pt>
                <c:pt idx="4">
                  <c:v>3645</c:v>
                </c:pt>
              </c:numCache>
            </c:numRef>
          </c:yVal>
          <c:smooth val="0"/>
          <c:extLst>
            <c:ext xmlns:c16="http://schemas.microsoft.com/office/drawing/2014/chart" uri="{C3380CC4-5D6E-409C-BE32-E72D297353CC}">
              <c16:uniqueId val="{00000005-B09E-4A2F-AC8A-A0DDC39FACB7}"/>
            </c:ext>
          </c:extLst>
        </c:ser>
        <c:ser>
          <c:idx val="4"/>
          <c:order val="4"/>
          <c:tx>
            <c:strRef>
              <c:f>'Segment Earnings'!$B$136</c:f>
              <c:strCache>
                <c:ptCount val="1"/>
                <c:pt idx="0">
                  <c:v>Power Systems</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'Segment Earnings'!$H$121:$L$121</c:f>
              <c:numCache>
                <c:formatCode>General</c:formatCode>
                <c:ptCount val="5"/>
                <c:pt idx="0">
                  <c:v>2017</c:v>
                </c:pt>
                <c:pt idx="1">
                  <c:v>2016</c:v>
                </c:pt>
                <c:pt idx="2">
                  <c:v>2015</c:v>
                </c:pt>
                <c:pt idx="3">
                  <c:v>2014</c:v>
                </c:pt>
                <c:pt idx="4">
                  <c:v>2013</c:v>
                </c:pt>
              </c:numCache>
            </c:numRef>
          </c:xVal>
          <c:yVal>
            <c:numRef>
              <c:f>'Segment Earnings'!$H$136:$L$136</c:f>
              <c:numCache>
                <c:formatCode>0</c:formatCode>
                <c:ptCount val="5"/>
                <c:pt idx="0">
                  <c:v>2375</c:v>
                </c:pt>
                <c:pt idx="1">
                  <c:v>2064</c:v>
                </c:pt>
                <c:pt idx="2">
                  <c:v>2434</c:v>
                </c:pt>
                <c:pt idx="3">
                  <c:v>1858</c:v>
                </c:pt>
                <c:pt idx="4">
                  <c:v>2154</c:v>
                </c:pt>
              </c:numCache>
            </c:numRef>
          </c:yVal>
          <c:smooth val="0"/>
          <c:extLst>
            <c:ext xmlns:c16="http://schemas.microsoft.com/office/drawing/2014/chart" uri="{C3380CC4-5D6E-409C-BE32-E72D297353CC}">
              <c16:uniqueId val="{00000006-B09E-4A2F-AC8A-A0DDC39FACB7}"/>
            </c:ext>
          </c:extLst>
        </c:ser>
        <c:dLbls>
          <c:showLegendKey val="0"/>
          <c:showVal val="0"/>
          <c:showCatName val="0"/>
          <c:showSerName val="0"/>
          <c:showPercent val="0"/>
          <c:showBubbleSize val="0"/>
        </c:dLbls>
        <c:axId val="588624256"/>
        <c:axId val="588626224"/>
      </c:scatterChart>
      <c:valAx>
        <c:axId val="588624256"/>
        <c:scaling>
          <c:orientation val="minMax"/>
          <c:max val="2017"/>
          <c:min val="2013"/>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626224"/>
        <c:crosses val="autoZero"/>
        <c:crossBetween val="midCat"/>
        <c:majorUnit val="1"/>
      </c:valAx>
      <c:valAx>
        <c:axId val="5886262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624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r>
              <a:rPr lang="en-US" baseline="0"/>
              <a:t> Net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'Segment Earnings'!$B$141</c:f>
              <c:strCache>
                <c:ptCount val="1"/>
                <c:pt idx="0">
                  <c:v>Engine</c:v>
                </c:pt>
              </c:strCache>
            </c:strRef>
          </c:tx>
          <c:spPr>
            <a:solidFill>
              <a:schemeClr val="accent1"/>
            </a:solidFill>
            <a:ln>
              <a:noFill/>
            </a:ln>
            <a:effectLst/>
          </c:spPr>
          <c:invertIfNegative val="0"/>
          <c:cat>
            <c:numRef>
              <c:f>'Segment Earnings'!$C$139:$G$139</c:f>
              <c:numCache>
                <c:formatCode>General</c:formatCode>
                <c:ptCount val="5"/>
                <c:pt idx="0">
                  <c:v>2013</c:v>
                </c:pt>
                <c:pt idx="1">
                  <c:v>2014</c:v>
                </c:pt>
                <c:pt idx="2">
                  <c:v>2015</c:v>
                </c:pt>
                <c:pt idx="3">
                  <c:v>2016</c:v>
                </c:pt>
                <c:pt idx="4">
                  <c:v>2017</c:v>
                </c:pt>
              </c:numCache>
            </c:numRef>
          </c:cat>
          <c:val>
            <c:numRef>
              <c:f>'Segment Earnings'!$C$141:$G$141</c:f>
              <c:numCache>
                <c:formatCode>General</c:formatCode>
                <c:ptCount val="5"/>
                <c:pt idx="0">
                  <c:v>8270</c:v>
                </c:pt>
                <c:pt idx="1">
                  <c:v>8437</c:v>
                </c:pt>
                <c:pt idx="2">
                  <c:v>6733</c:v>
                </c:pt>
                <c:pt idx="3">
                  <c:v>5774</c:v>
                </c:pt>
                <c:pt idx="4">
                  <c:v>6661</c:v>
                </c:pt>
              </c:numCache>
            </c:numRef>
          </c:val>
          <c:extLst>
            <c:ext xmlns:c16="http://schemas.microsoft.com/office/drawing/2014/chart" uri="{C3380CC4-5D6E-409C-BE32-E72D297353CC}">
              <c16:uniqueId val="{00000000-01E4-43C5-A8F7-AAE8357D32F4}"/>
            </c:ext>
          </c:extLst>
        </c:ser>
        <c:ser>
          <c:idx val="1"/>
          <c:order val="1"/>
          <c:tx>
            <c:strRef>
              <c:f>'Segment Earnings'!$B$142</c:f>
              <c:strCache>
                <c:ptCount val="1"/>
                <c:pt idx="0">
                  <c:v>Distribution</c:v>
                </c:pt>
              </c:strCache>
            </c:strRef>
          </c:tx>
          <c:spPr>
            <a:solidFill>
              <a:schemeClr val="accent2"/>
            </a:solidFill>
            <a:ln>
              <a:noFill/>
            </a:ln>
            <a:effectLst/>
          </c:spPr>
          <c:invertIfNegative val="0"/>
          <c:cat>
            <c:numRef>
              <c:f>'Segment Earnings'!$C$139:$G$139</c:f>
              <c:numCache>
                <c:formatCode>General</c:formatCode>
                <c:ptCount val="5"/>
                <c:pt idx="0">
                  <c:v>2013</c:v>
                </c:pt>
                <c:pt idx="1">
                  <c:v>2014</c:v>
                </c:pt>
                <c:pt idx="2">
                  <c:v>2015</c:v>
                </c:pt>
                <c:pt idx="3">
                  <c:v>2016</c:v>
                </c:pt>
                <c:pt idx="4">
                  <c:v>2017</c:v>
                </c:pt>
              </c:numCache>
            </c:numRef>
          </c:cat>
          <c:val>
            <c:numRef>
              <c:f>'Segment Earnings'!$C$142:$G$142</c:f>
              <c:numCache>
                <c:formatCode>General</c:formatCode>
                <c:ptCount val="5"/>
                <c:pt idx="0">
                  <c:v>3726</c:v>
                </c:pt>
                <c:pt idx="1">
                  <c:v>5135</c:v>
                </c:pt>
                <c:pt idx="2">
                  <c:v>6198</c:v>
                </c:pt>
                <c:pt idx="3">
                  <c:v>6157</c:v>
                </c:pt>
                <c:pt idx="4">
                  <c:v>7029</c:v>
                </c:pt>
              </c:numCache>
            </c:numRef>
          </c:val>
          <c:extLst>
            <c:ext xmlns:c16="http://schemas.microsoft.com/office/drawing/2014/chart" uri="{C3380CC4-5D6E-409C-BE32-E72D297353CC}">
              <c16:uniqueId val="{00000001-01E4-43C5-A8F7-AAE8357D32F4}"/>
            </c:ext>
          </c:extLst>
        </c:ser>
        <c:ser>
          <c:idx val="2"/>
          <c:order val="2"/>
          <c:tx>
            <c:strRef>
              <c:f>'Segment Earnings'!$B$143</c:f>
              <c:strCache>
                <c:ptCount val="1"/>
                <c:pt idx="0">
                  <c:v>Components</c:v>
                </c:pt>
              </c:strCache>
            </c:strRef>
          </c:tx>
          <c:spPr>
            <a:solidFill>
              <a:schemeClr val="accent3"/>
            </a:solidFill>
            <a:ln>
              <a:noFill/>
            </a:ln>
            <a:effectLst/>
          </c:spPr>
          <c:invertIfNegative val="0"/>
          <c:cat>
            <c:numRef>
              <c:f>'Segment Earnings'!$C$139:$G$139</c:f>
              <c:numCache>
                <c:formatCode>General</c:formatCode>
                <c:ptCount val="5"/>
                <c:pt idx="0">
                  <c:v>2013</c:v>
                </c:pt>
                <c:pt idx="1">
                  <c:v>2014</c:v>
                </c:pt>
                <c:pt idx="2">
                  <c:v>2015</c:v>
                </c:pt>
                <c:pt idx="3">
                  <c:v>2016</c:v>
                </c:pt>
                <c:pt idx="4">
                  <c:v>2017</c:v>
                </c:pt>
              </c:numCache>
            </c:numRef>
          </c:cat>
          <c:val>
            <c:numRef>
              <c:f>'Segment Earnings'!$C$143:$G$143</c:f>
              <c:numCache>
                <c:formatCode>General</c:formatCode>
                <c:ptCount val="5"/>
                <c:pt idx="0">
                  <c:v>3645</c:v>
                </c:pt>
                <c:pt idx="1">
                  <c:v>3509</c:v>
                </c:pt>
                <c:pt idx="2">
                  <c:v>3409</c:v>
                </c:pt>
                <c:pt idx="3">
                  <c:v>3514</c:v>
                </c:pt>
                <c:pt idx="4">
                  <c:v>4363</c:v>
                </c:pt>
              </c:numCache>
            </c:numRef>
          </c:val>
          <c:extLst>
            <c:ext xmlns:c16="http://schemas.microsoft.com/office/drawing/2014/chart" uri="{C3380CC4-5D6E-409C-BE32-E72D297353CC}">
              <c16:uniqueId val="{00000002-01E4-43C5-A8F7-AAE8357D32F4}"/>
            </c:ext>
          </c:extLst>
        </c:ser>
        <c:ser>
          <c:idx val="3"/>
          <c:order val="3"/>
          <c:tx>
            <c:strRef>
              <c:f>'Segment Earnings'!$B$144</c:f>
              <c:strCache>
                <c:ptCount val="1"/>
                <c:pt idx="0">
                  <c:v>Power Systems</c:v>
                </c:pt>
              </c:strCache>
            </c:strRef>
          </c:tx>
          <c:spPr>
            <a:solidFill>
              <a:schemeClr val="accent4"/>
            </a:solidFill>
            <a:ln>
              <a:noFill/>
            </a:ln>
            <a:effectLst/>
          </c:spPr>
          <c:invertIfNegative val="0"/>
          <c:cat>
            <c:numRef>
              <c:f>'Segment Earnings'!$C$139:$G$139</c:f>
              <c:numCache>
                <c:formatCode>General</c:formatCode>
                <c:ptCount val="5"/>
                <c:pt idx="0">
                  <c:v>2013</c:v>
                </c:pt>
                <c:pt idx="1">
                  <c:v>2014</c:v>
                </c:pt>
                <c:pt idx="2">
                  <c:v>2015</c:v>
                </c:pt>
                <c:pt idx="3">
                  <c:v>2016</c:v>
                </c:pt>
                <c:pt idx="4">
                  <c:v>2017</c:v>
                </c:pt>
              </c:numCache>
            </c:numRef>
          </c:cat>
          <c:val>
            <c:numRef>
              <c:f>'Segment Earnings'!$C$144:$G$144</c:f>
              <c:numCache>
                <c:formatCode>General</c:formatCode>
                <c:ptCount val="5"/>
                <c:pt idx="0">
                  <c:v>2154</c:v>
                </c:pt>
                <c:pt idx="1">
                  <c:v>1858</c:v>
                </c:pt>
                <c:pt idx="2">
                  <c:v>2434</c:v>
                </c:pt>
                <c:pt idx="3">
                  <c:v>2064</c:v>
                </c:pt>
                <c:pt idx="4">
                  <c:v>2375</c:v>
                </c:pt>
              </c:numCache>
            </c:numRef>
          </c:val>
          <c:extLst>
            <c:ext xmlns:c16="http://schemas.microsoft.com/office/drawing/2014/chart" uri="{C3380CC4-5D6E-409C-BE32-E72D297353CC}">
              <c16:uniqueId val="{00000003-01E4-43C5-A8F7-AAE8357D32F4}"/>
            </c:ext>
          </c:extLst>
        </c:ser>
        <c:dLbls>
          <c:showLegendKey val="0"/>
          <c:showVal val="0"/>
          <c:showCatName val="0"/>
          <c:showSerName val="0"/>
          <c:showPercent val="0"/>
          <c:showBubbleSize val="0"/>
        </c:dLbls>
        <c:gapWidth val="150"/>
        <c:axId val="588624256"/>
        <c:axId val="588626224"/>
      </c:barChart>
      <c:lineChart>
        <c:grouping val="standard"/>
        <c:varyColors val="0"/>
        <c:ser>
          <c:idx val="4"/>
          <c:order val="4"/>
          <c:tx>
            <c:strRef>
              <c:f>'Segment Earnings'!$B$132</c:f>
              <c:strCache>
                <c:ptCount val="1"/>
                <c:pt idx="0">
                  <c:v>Total Sales</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cat>
            <c:numRef>
              <c:f>'Segment Earnings'!$C$139:$G$139</c:f>
              <c:numCache>
                <c:formatCode>General</c:formatCode>
                <c:ptCount val="5"/>
                <c:pt idx="0">
                  <c:v>2013</c:v>
                </c:pt>
                <c:pt idx="1">
                  <c:v>2014</c:v>
                </c:pt>
                <c:pt idx="2">
                  <c:v>2015</c:v>
                </c:pt>
                <c:pt idx="3">
                  <c:v>2016</c:v>
                </c:pt>
                <c:pt idx="4">
                  <c:v>2017</c:v>
                </c:pt>
              </c:numCache>
            </c:numRef>
          </c:cat>
          <c:val>
            <c:numRef>
              <c:f>'Segment Earnings'!$C$140:$G$140</c:f>
              <c:numCache>
                <c:formatCode>General</c:formatCode>
                <c:ptCount val="5"/>
                <c:pt idx="0">
                  <c:v>17795</c:v>
                </c:pt>
                <c:pt idx="1">
                  <c:v>18939</c:v>
                </c:pt>
                <c:pt idx="2">
                  <c:v>18774</c:v>
                </c:pt>
                <c:pt idx="3">
                  <c:v>17509</c:v>
                </c:pt>
                <c:pt idx="4">
                  <c:v>20428</c:v>
                </c:pt>
              </c:numCache>
            </c:numRef>
          </c:val>
          <c:smooth val="0"/>
          <c:extLst>
            <c:ext xmlns:c16="http://schemas.microsoft.com/office/drawing/2014/chart" uri="{C3380CC4-5D6E-409C-BE32-E72D297353CC}">
              <c16:uniqueId val="{00000005-01E4-43C5-A8F7-AAE8357D32F4}"/>
            </c:ext>
          </c:extLst>
        </c:ser>
        <c:dLbls>
          <c:showLegendKey val="0"/>
          <c:showVal val="0"/>
          <c:showCatName val="0"/>
          <c:showSerName val="0"/>
          <c:showPercent val="0"/>
          <c:showBubbleSize val="0"/>
        </c:dLbls>
        <c:marker val="1"/>
        <c:smooth val="0"/>
        <c:axId val="589636200"/>
        <c:axId val="589644728"/>
      </c:lineChart>
      <c:catAx>
        <c:axId val="588624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626224"/>
        <c:crosses val="autoZero"/>
        <c:auto val="1"/>
        <c:lblAlgn val="ctr"/>
        <c:lblOffset val="100"/>
        <c:tickMarkSkip val="1"/>
        <c:noMultiLvlLbl val="0"/>
      </c:catAx>
      <c:valAx>
        <c:axId val="588626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624256"/>
        <c:crosses val="autoZero"/>
        <c:crossBetween val="between"/>
      </c:valAx>
      <c:valAx>
        <c:axId val="589644728"/>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636200"/>
        <c:crosses val="max"/>
        <c:crossBetween val="between"/>
      </c:valAx>
      <c:catAx>
        <c:axId val="589636200"/>
        <c:scaling>
          <c:orientation val="minMax"/>
        </c:scaling>
        <c:delete val="1"/>
        <c:axPos val="b"/>
        <c:numFmt formatCode="General" sourceLinked="1"/>
        <c:majorTickMark val="out"/>
        <c:minorTickMark val="none"/>
        <c:tickLblPos val="nextTo"/>
        <c:crossAx val="589644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Historic</a:t>
            </a:r>
            <a:r>
              <a:rPr lang="en-US" baseline="0"/>
              <a:t> EBIT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'Segment Earnings'!$B$133</c:f>
              <c:strCache>
                <c:ptCount val="1"/>
                <c:pt idx="0">
                  <c:v>Engine</c:v>
                </c:pt>
              </c:strCache>
            </c:strRef>
          </c:tx>
          <c:spPr>
            <a:solidFill>
              <a:schemeClr val="accent1"/>
            </a:solidFill>
            <a:ln>
              <a:noFill/>
            </a:ln>
            <a:effectLst/>
          </c:spPr>
          <c:invertIfNegative val="0"/>
          <c:cat>
            <c:numRef>
              <c:f>'Segment Earnings'!$C$146:$G$146</c:f>
              <c:numCache>
                <c:formatCode>General</c:formatCode>
                <c:ptCount val="5"/>
                <c:pt idx="0">
                  <c:v>2013</c:v>
                </c:pt>
                <c:pt idx="1">
                  <c:v>2014</c:v>
                </c:pt>
                <c:pt idx="2">
                  <c:v>2015</c:v>
                </c:pt>
                <c:pt idx="3">
                  <c:v>2016</c:v>
                </c:pt>
                <c:pt idx="4">
                  <c:v>2017</c:v>
                </c:pt>
              </c:numCache>
            </c:numRef>
          </c:cat>
          <c:val>
            <c:numRef>
              <c:f>'Segment Earnings'!$C$148:$G$148</c:f>
              <c:numCache>
                <c:formatCode>General</c:formatCode>
                <c:ptCount val="5"/>
                <c:pt idx="0">
                  <c:v>1041</c:v>
                </c:pt>
                <c:pt idx="1">
                  <c:v>1225</c:v>
                </c:pt>
                <c:pt idx="2">
                  <c:v>636</c:v>
                </c:pt>
                <c:pt idx="3">
                  <c:v>686</c:v>
                </c:pt>
                <c:pt idx="4">
                  <c:v>959</c:v>
                </c:pt>
              </c:numCache>
            </c:numRef>
          </c:val>
          <c:extLst>
            <c:ext xmlns:c16="http://schemas.microsoft.com/office/drawing/2014/chart" uri="{C3380CC4-5D6E-409C-BE32-E72D297353CC}">
              <c16:uniqueId val="{00000000-161F-4397-B24C-2BE25C508125}"/>
            </c:ext>
          </c:extLst>
        </c:ser>
        <c:ser>
          <c:idx val="1"/>
          <c:order val="1"/>
          <c:tx>
            <c:strRef>
              <c:f>'Segment Earnings'!$B$134</c:f>
              <c:strCache>
                <c:ptCount val="1"/>
                <c:pt idx="0">
                  <c:v>Distribution</c:v>
                </c:pt>
              </c:strCache>
            </c:strRef>
          </c:tx>
          <c:spPr>
            <a:solidFill>
              <a:schemeClr val="accent2"/>
            </a:solidFill>
            <a:ln>
              <a:noFill/>
            </a:ln>
            <a:effectLst/>
          </c:spPr>
          <c:invertIfNegative val="0"/>
          <c:cat>
            <c:numRef>
              <c:f>'Segment Earnings'!$C$146:$G$146</c:f>
              <c:numCache>
                <c:formatCode>General</c:formatCode>
                <c:ptCount val="5"/>
                <c:pt idx="0">
                  <c:v>2013</c:v>
                </c:pt>
                <c:pt idx="1">
                  <c:v>2014</c:v>
                </c:pt>
                <c:pt idx="2">
                  <c:v>2015</c:v>
                </c:pt>
                <c:pt idx="3">
                  <c:v>2016</c:v>
                </c:pt>
                <c:pt idx="4">
                  <c:v>2017</c:v>
                </c:pt>
              </c:numCache>
            </c:numRef>
          </c:cat>
          <c:val>
            <c:numRef>
              <c:f>'Segment Earnings'!$C$149:$G$149</c:f>
              <c:numCache>
                <c:formatCode>General</c:formatCode>
                <c:ptCount val="5"/>
                <c:pt idx="0">
                  <c:v>388</c:v>
                </c:pt>
                <c:pt idx="1">
                  <c:v>491</c:v>
                </c:pt>
                <c:pt idx="2">
                  <c:v>412</c:v>
                </c:pt>
                <c:pt idx="3">
                  <c:v>392</c:v>
                </c:pt>
                <c:pt idx="4">
                  <c:v>384</c:v>
                </c:pt>
              </c:numCache>
            </c:numRef>
          </c:val>
          <c:extLst>
            <c:ext xmlns:c16="http://schemas.microsoft.com/office/drawing/2014/chart" uri="{C3380CC4-5D6E-409C-BE32-E72D297353CC}">
              <c16:uniqueId val="{00000001-161F-4397-B24C-2BE25C508125}"/>
            </c:ext>
          </c:extLst>
        </c:ser>
        <c:ser>
          <c:idx val="2"/>
          <c:order val="2"/>
          <c:tx>
            <c:strRef>
              <c:f>'Segment Earnings'!$B$135</c:f>
              <c:strCache>
                <c:ptCount val="1"/>
                <c:pt idx="0">
                  <c:v>Components</c:v>
                </c:pt>
              </c:strCache>
            </c:strRef>
          </c:tx>
          <c:spPr>
            <a:solidFill>
              <a:schemeClr val="accent3"/>
            </a:solidFill>
            <a:ln>
              <a:noFill/>
            </a:ln>
            <a:effectLst/>
          </c:spPr>
          <c:invertIfNegative val="0"/>
          <c:cat>
            <c:numRef>
              <c:f>'Segment Earnings'!$C$146:$G$146</c:f>
              <c:numCache>
                <c:formatCode>General</c:formatCode>
                <c:ptCount val="5"/>
                <c:pt idx="0">
                  <c:v>2013</c:v>
                </c:pt>
                <c:pt idx="1">
                  <c:v>2014</c:v>
                </c:pt>
                <c:pt idx="2">
                  <c:v>2015</c:v>
                </c:pt>
                <c:pt idx="3">
                  <c:v>2016</c:v>
                </c:pt>
                <c:pt idx="4">
                  <c:v>2017</c:v>
                </c:pt>
              </c:numCache>
            </c:numRef>
          </c:cat>
          <c:val>
            <c:numRef>
              <c:f>'Segment Earnings'!$C$150:$G$150</c:f>
              <c:numCache>
                <c:formatCode>General</c:formatCode>
                <c:ptCount val="5"/>
                <c:pt idx="0">
                  <c:v>527</c:v>
                </c:pt>
                <c:pt idx="1">
                  <c:v>684</c:v>
                </c:pt>
                <c:pt idx="2">
                  <c:v>727</c:v>
                </c:pt>
                <c:pt idx="3">
                  <c:v>641</c:v>
                </c:pt>
                <c:pt idx="4">
                  <c:v>754</c:v>
                </c:pt>
              </c:numCache>
            </c:numRef>
          </c:val>
          <c:extLst>
            <c:ext xmlns:c16="http://schemas.microsoft.com/office/drawing/2014/chart" uri="{C3380CC4-5D6E-409C-BE32-E72D297353CC}">
              <c16:uniqueId val="{00000002-161F-4397-B24C-2BE25C508125}"/>
            </c:ext>
          </c:extLst>
        </c:ser>
        <c:ser>
          <c:idx val="3"/>
          <c:order val="3"/>
          <c:tx>
            <c:strRef>
              <c:f>'Segment Earnings'!$B$136</c:f>
              <c:strCache>
                <c:ptCount val="1"/>
                <c:pt idx="0">
                  <c:v>Power Systems</c:v>
                </c:pt>
              </c:strCache>
            </c:strRef>
          </c:tx>
          <c:spPr>
            <a:solidFill>
              <a:schemeClr val="accent4"/>
            </a:solidFill>
            <a:ln>
              <a:noFill/>
            </a:ln>
            <a:effectLst/>
          </c:spPr>
          <c:invertIfNegative val="0"/>
          <c:cat>
            <c:numRef>
              <c:f>'Segment Earnings'!$C$146:$G$146</c:f>
              <c:numCache>
                <c:formatCode>General</c:formatCode>
                <c:ptCount val="5"/>
                <c:pt idx="0">
                  <c:v>2013</c:v>
                </c:pt>
                <c:pt idx="1">
                  <c:v>2014</c:v>
                </c:pt>
                <c:pt idx="2">
                  <c:v>2015</c:v>
                </c:pt>
                <c:pt idx="3">
                  <c:v>2016</c:v>
                </c:pt>
                <c:pt idx="4">
                  <c:v>2017</c:v>
                </c:pt>
              </c:numCache>
            </c:numRef>
          </c:cat>
          <c:val>
            <c:numRef>
              <c:f>'Segment Earnings'!$C$151:$G$151</c:f>
              <c:numCache>
                <c:formatCode>General</c:formatCode>
                <c:ptCount val="5"/>
                <c:pt idx="0">
                  <c:v>218</c:v>
                </c:pt>
                <c:pt idx="1">
                  <c:v>168</c:v>
                </c:pt>
                <c:pt idx="2">
                  <c:v>335</c:v>
                </c:pt>
                <c:pt idx="3">
                  <c:v>263</c:v>
                </c:pt>
                <c:pt idx="4">
                  <c:v>294</c:v>
                </c:pt>
              </c:numCache>
            </c:numRef>
          </c:val>
          <c:extLst>
            <c:ext xmlns:c16="http://schemas.microsoft.com/office/drawing/2014/chart" uri="{C3380CC4-5D6E-409C-BE32-E72D297353CC}">
              <c16:uniqueId val="{00000003-161F-4397-B24C-2BE25C508125}"/>
            </c:ext>
          </c:extLst>
        </c:ser>
        <c:dLbls>
          <c:showLegendKey val="0"/>
          <c:showVal val="0"/>
          <c:showCatName val="0"/>
          <c:showSerName val="0"/>
          <c:showPercent val="0"/>
          <c:showBubbleSize val="0"/>
        </c:dLbls>
        <c:gapWidth val="150"/>
        <c:axId val="588624256"/>
        <c:axId val="588626224"/>
      </c:barChart>
      <c:lineChart>
        <c:grouping val="standard"/>
        <c:varyColors val="0"/>
        <c:ser>
          <c:idx val="4"/>
          <c:order val="4"/>
          <c:tx>
            <c:strRef>
              <c:f>'Segment Earnings'!$B$132</c:f>
              <c:strCache>
                <c:ptCount val="1"/>
                <c:pt idx="0">
                  <c:v>Total Sales</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cat>
            <c:numRef>
              <c:f>'Segment Earnings'!$C$146:$G$146</c:f>
              <c:numCache>
                <c:formatCode>General</c:formatCode>
                <c:ptCount val="5"/>
                <c:pt idx="0">
                  <c:v>2013</c:v>
                </c:pt>
                <c:pt idx="1">
                  <c:v>2014</c:v>
                </c:pt>
                <c:pt idx="2">
                  <c:v>2015</c:v>
                </c:pt>
                <c:pt idx="3">
                  <c:v>2016</c:v>
                </c:pt>
                <c:pt idx="4">
                  <c:v>2017</c:v>
                </c:pt>
              </c:numCache>
            </c:numRef>
          </c:cat>
          <c:val>
            <c:numRef>
              <c:f>'Segment Earnings'!$C$147:$G$147</c:f>
              <c:numCache>
                <c:formatCode>General</c:formatCode>
                <c:ptCount val="5"/>
                <c:pt idx="0">
                  <c:v>2174</c:v>
                </c:pt>
                <c:pt idx="1">
                  <c:v>2568</c:v>
                </c:pt>
                <c:pt idx="2">
                  <c:v>2110</c:v>
                </c:pt>
                <c:pt idx="3">
                  <c:v>1982</c:v>
                </c:pt>
                <c:pt idx="4">
                  <c:v>2391</c:v>
                </c:pt>
              </c:numCache>
            </c:numRef>
          </c:val>
          <c:smooth val="0"/>
          <c:extLst>
            <c:ext xmlns:c16="http://schemas.microsoft.com/office/drawing/2014/chart" uri="{C3380CC4-5D6E-409C-BE32-E72D297353CC}">
              <c16:uniqueId val="{00000004-161F-4397-B24C-2BE25C508125}"/>
            </c:ext>
          </c:extLst>
        </c:ser>
        <c:dLbls>
          <c:showLegendKey val="0"/>
          <c:showVal val="0"/>
          <c:showCatName val="0"/>
          <c:showSerName val="0"/>
          <c:showPercent val="0"/>
          <c:showBubbleSize val="0"/>
        </c:dLbls>
        <c:marker val="1"/>
        <c:smooth val="0"/>
        <c:axId val="589636200"/>
        <c:axId val="589644728"/>
      </c:lineChart>
      <c:catAx>
        <c:axId val="5886242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626224"/>
        <c:crosses val="autoZero"/>
        <c:auto val="1"/>
        <c:lblAlgn val="ctr"/>
        <c:lblOffset val="100"/>
        <c:noMultiLvlLbl val="0"/>
      </c:catAx>
      <c:valAx>
        <c:axId val="5886262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8624256"/>
        <c:crosses val="autoZero"/>
        <c:crossBetween val="between"/>
      </c:valAx>
      <c:valAx>
        <c:axId val="589644728"/>
        <c:scaling>
          <c:orientation val="minMax"/>
          <c:min val="1850"/>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636200"/>
        <c:crosses val="max"/>
        <c:crossBetween val="between"/>
      </c:valAx>
      <c:catAx>
        <c:axId val="589636200"/>
        <c:scaling>
          <c:orientation val="minMax"/>
        </c:scaling>
        <c:delete val="1"/>
        <c:axPos val="b"/>
        <c:numFmt formatCode="General" sourceLinked="1"/>
        <c:majorTickMark val="out"/>
        <c:minorTickMark val="none"/>
        <c:tickLblPos val="nextTo"/>
        <c:crossAx val="58964472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Effective Regional Exchange</a:t>
            </a:r>
            <a:r>
              <a:rPr lang="en-US" baseline="0"/>
              <a:t> Rate, US $ per</a:t>
            </a:r>
            <a:endParaRPr lang="en-US"/>
          </a:p>
        </c:rich>
      </c:tx>
      <c:overlay val="0"/>
      <c:spPr>
        <a:noFill/>
        <a:ln>
          <a:noFill/>
        </a:ln>
        <a:effectLst/>
      </c:spPr>
    </c:title>
    <c:autoTitleDeleted val="0"/>
    <c:plotArea>
      <c:layout>
        <c:manualLayout>
          <c:layoutTarget val="inner"/>
          <c:xMode val="edge"/>
          <c:yMode val="edge"/>
          <c:x val="4.4292468497954228E-2"/>
          <c:y val="0.17383537714398942"/>
          <c:w val="0.92174434998117249"/>
          <c:h val="0.67809317893851395"/>
        </c:manualLayout>
      </c:layout>
      <c:scatterChart>
        <c:scatterStyle val="lineMarker"/>
        <c:varyColors val="0"/>
        <c:ser>
          <c:idx val="0"/>
          <c:order val="0"/>
          <c:tx>
            <c:strRef>
              <c:f>'Misc data'!$D$230</c:f>
              <c:strCache>
                <c:ptCount val="1"/>
                <c:pt idx="0">
                  <c:v>Asia Pacific</c:v>
                </c:pt>
              </c:strCache>
            </c:strRef>
          </c:tx>
          <c:spPr>
            <a:ln>
              <a:solidFill>
                <a:schemeClr val="accent2"/>
              </a:solidFill>
            </a:ln>
          </c:spPr>
          <c:marker>
            <c:spPr>
              <a:solidFill>
                <a:schemeClr val="accent2"/>
              </a:solidFill>
              <a:ln>
                <a:solidFill>
                  <a:schemeClr val="accent2"/>
                </a:solidFill>
              </a:ln>
            </c:spPr>
          </c:marker>
          <c:xVal>
            <c:numRef>
              <c:f>'Misc data'!$E$228:$J$228</c:f>
              <c:numCache>
                <c:formatCode>General</c:formatCode>
                <c:ptCount val="6"/>
                <c:pt idx="0">
                  <c:v>2022</c:v>
                </c:pt>
                <c:pt idx="1">
                  <c:v>2021</c:v>
                </c:pt>
                <c:pt idx="2">
                  <c:v>2020</c:v>
                </c:pt>
                <c:pt idx="3">
                  <c:v>2019</c:v>
                </c:pt>
                <c:pt idx="4">
                  <c:v>2018</c:v>
                </c:pt>
                <c:pt idx="5">
                  <c:v>2017</c:v>
                </c:pt>
              </c:numCache>
            </c:numRef>
          </c:xVal>
          <c:yVal>
            <c:numRef>
              <c:f>'Misc data'!$E$230:$J$230</c:f>
              <c:numCache>
                <c:formatCode>0.000</c:formatCode>
                <c:ptCount val="6"/>
                <c:pt idx="0">
                  <c:v>1.0456284453489479</c:v>
                </c:pt>
                <c:pt idx="1">
                  <c:v>1.0195605283494802</c:v>
                </c:pt>
                <c:pt idx="2">
                  <c:v>0.92166153625117175</c:v>
                </c:pt>
                <c:pt idx="3">
                  <c:v>0.923331781803855</c:v>
                </c:pt>
                <c:pt idx="4">
                  <c:v>0.97055574749098439</c:v>
                </c:pt>
                <c:pt idx="5" formatCode="General">
                  <c:v>1</c:v>
                </c:pt>
              </c:numCache>
            </c:numRef>
          </c:yVal>
          <c:smooth val="0"/>
          <c:extLst>
            <c:ext xmlns:c16="http://schemas.microsoft.com/office/drawing/2014/chart" uri="{C3380CC4-5D6E-409C-BE32-E72D297353CC}">
              <c16:uniqueId val="{00000011-C704-48B4-A008-B4781F7C3201}"/>
            </c:ext>
          </c:extLst>
        </c:ser>
        <c:ser>
          <c:idx val="3"/>
          <c:order val="1"/>
          <c:tx>
            <c:strRef>
              <c:f>'Misc data'!$D$231</c:f>
              <c:strCache>
                <c:ptCount val="1"/>
                <c:pt idx="0">
                  <c:v>Europe</c:v>
                </c:pt>
              </c:strCache>
            </c:strRef>
          </c:tx>
          <c:spPr>
            <a:ln>
              <a:solidFill>
                <a:schemeClr val="bg2">
                  <a:lumMod val="50000"/>
                </a:schemeClr>
              </a:solidFill>
            </a:ln>
          </c:spPr>
          <c:marker>
            <c:spPr>
              <a:solidFill>
                <a:schemeClr val="bg2">
                  <a:lumMod val="50000"/>
                </a:schemeClr>
              </a:solidFill>
              <a:ln>
                <a:solidFill>
                  <a:schemeClr val="bg2">
                    <a:lumMod val="50000"/>
                  </a:schemeClr>
                </a:solidFill>
              </a:ln>
            </c:spPr>
          </c:marker>
          <c:xVal>
            <c:numRef>
              <c:f>'Misc data'!$E$228:$J$228</c:f>
              <c:numCache>
                <c:formatCode>General</c:formatCode>
                <c:ptCount val="6"/>
                <c:pt idx="0">
                  <c:v>2022</c:v>
                </c:pt>
                <c:pt idx="1">
                  <c:v>2021</c:v>
                </c:pt>
                <c:pt idx="2">
                  <c:v>2020</c:v>
                </c:pt>
                <c:pt idx="3">
                  <c:v>2019</c:v>
                </c:pt>
                <c:pt idx="4">
                  <c:v>2018</c:v>
                </c:pt>
                <c:pt idx="5">
                  <c:v>2017</c:v>
                </c:pt>
              </c:numCache>
            </c:numRef>
          </c:xVal>
          <c:yVal>
            <c:numRef>
              <c:f>'Misc data'!$E$231:$J$231</c:f>
              <c:numCache>
                <c:formatCode>0.000</c:formatCode>
                <c:ptCount val="6"/>
                <c:pt idx="0">
                  <c:v>1.0986303316273882</c:v>
                </c:pt>
                <c:pt idx="1">
                  <c:v>0.96076790820463864</c:v>
                </c:pt>
                <c:pt idx="2">
                  <c:v>0.95027588310712485</c:v>
                </c:pt>
                <c:pt idx="3">
                  <c:v>0.90991947118172989</c:v>
                </c:pt>
                <c:pt idx="4">
                  <c:v>0.97364528437223319</c:v>
                </c:pt>
                <c:pt idx="5" formatCode="General">
                  <c:v>1</c:v>
                </c:pt>
              </c:numCache>
            </c:numRef>
          </c:yVal>
          <c:smooth val="0"/>
          <c:extLst>
            <c:ext xmlns:c16="http://schemas.microsoft.com/office/drawing/2014/chart" uri="{C3380CC4-5D6E-409C-BE32-E72D297353CC}">
              <c16:uniqueId val="{00000012-C704-48B4-A008-B4781F7C3201}"/>
            </c:ext>
          </c:extLst>
        </c:ser>
        <c:ser>
          <c:idx val="5"/>
          <c:order val="2"/>
          <c:tx>
            <c:strRef>
              <c:f>'Misc data'!$D$233</c:f>
              <c:strCache>
                <c:ptCount val="1"/>
                <c:pt idx="0">
                  <c:v>China</c:v>
                </c:pt>
              </c:strCache>
            </c:strRef>
          </c:tx>
          <c:marker>
            <c:symbol val="diamond"/>
            <c:size val="9"/>
            <c:spPr>
              <a:solidFill>
                <a:schemeClr val="accent5">
                  <a:lumMod val="75000"/>
                </a:schemeClr>
              </a:solidFill>
              <a:ln w="9525">
                <a:solidFill>
                  <a:schemeClr val="accent5"/>
                </a:solidFill>
              </a:ln>
              <a:effectLst/>
            </c:spPr>
          </c:marker>
          <c:xVal>
            <c:numRef>
              <c:f>'Misc data'!$E$228:$J$228</c:f>
              <c:numCache>
                <c:formatCode>General</c:formatCode>
                <c:ptCount val="6"/>
                <c:pt idx="0">
                  <c:v>2022</c:v>
                </c:pt>
                <c:pt idx="1">
                  <c:v>2021</c:v>
                </c:pt>
                <c:pt idx="2">
                  <c:v>2020</c:v>
                </c:pt>
                <c:pt idx="3">
                  <c:v>2019</c:v>
                </c:pt>
                <c:pt idx="4">
                  <c:v>2018</c:v>
                </c:pt>
                <c:pt idx="5">
                  <c:v>2017</c:v>
                </c:pt>
              </c:numCache>
            </c:numRef>
          </c:xVal>
          <c:yVal>
            <c:numRef>
              <c:f>'Misc data'!$E$233:$J$233</c:f>
              <c:numCache>
                <c:formatCode>0.000</c:formatCode>
                <c:ptCount val="6"/>
                <c:pt idx="0">
                  <c:v>0.9644169975003678</c:v>
                </c:pt>
                <c:pt idx="1">
                  <c:v>0.97323922952507003</c:v>
                </c:pt>
                <c:pt idx="2">
                  <c:v>0.93265696221143968</c:v>
                </c:pt>
                <c:pt idx="3">
                  <c:v>0.87634171445375686</c:v>
                </c:pt>
                <c:pt idx="4">
                  <c:v>0.9439788266431407</c:v>
                </c:pt>
                <c:pt idx="5" formatCode="General">
                  <c:v>1</c:v>
                </c:pt>
              </c:numCache>
            </c:numRef>
          </c:yVal>
          <c:smooth val="0"/>
          <c:extLst>
            <c:ext xmlns:c16="http://schemas.microsoft.com/office/drawing/2014/chart" uri="{C3380CC4-5D6E-409C-BE32-E72D297353CC}">
              <c16:uniqueId val="{00000013-C704-48B4-A008-B4781F7C3201}"/>
            </c:ext>
          </c:extLst>
        </c:ser>
        <c:ser>
          <c:idx val="6"/>
          <c:order val="3"/>
          <c:tx>
            <c:strRef>
              <c:f>'Misc data'!$D$237</c:f>
              <c:strCache>
                <c:ptCount val="1"/>
                <c:pt idx="0">
                  <c:v>Flat</c:v>
                </c:pt>
              </c:strCache>
            </c:strRef>
          </c:tx>
          <c:spPr>
            <a:ln w="41275">
              <a:solidFill>
                <a:schemeClr val="tx1"/>
              </a:solidFill>
              <a:prstDash val="dash"/>
            </a:ln>
          </c:spPr>
          <c:marker>
            <c:symbol val="none"/>
          </c:marker>
          <c:xVal>
            <c:numRef>
              <c:f>'Misc data'!$E$228:$J$228</c:f>
              <c:numCache>
                <c:formatCode>General</c:formatCode>
                <c:ptCount val="6"/>
                <c:pt idx="0">
                  <c:v>2022</c:v>
                </c:pt>
                <c:pt idx="1">
                  <c:v>2021</c:v>
                </c:pt>
                <c:pt idx="2">
                  <c:v>2020</c:v>
                </c:pt>
                <c:pt idx="3">
                  <c:v>2019</c:v>
                </c:pt>
                <c:pt idx="4">
                  <c:v>2018</c:v>
                </c:pt>
                <c:pt idx="5">
                  <c:v>2017</c:v>
                </c:pt>
              </c:numCache>
            </c:numRef>
          </c:xVal>
          <c:yVal>
            <c:numRef>
              <c:f>'Misc data'!$E$237:$J$237</c:f>
              <c:numCache>
                <c:formatCode>General</c:formatCode>
                <c:ptCount val="6"/>
                <c:pt idx="0">
                  <c:v>1</c:v>
                </c:pt>
                <c:pt idx="1">
                  <c:v>1</c:v>
                </c:pt>
                <c:pt idx="2">
                  <c:v>1</c:v>
                </c:pt>
                <c:pt idx="3">
                  <c:v>1</c:v>
                </c:pt>
                <c:pt idx="4">
                  <c:v>1</c:v>
                </c:pt>
                <c:pt idx="5">
                  <c:v>1</c:v>
                </c:pt>
              </c:numCache>
            </c:numRef>
          </c:yVal>
          <c:smooth val="0"/>
          <c:extLst>
            <c:ext xmlns:c16="http://schemas.microsoft.com/office/drawing/2014/chart" uri="{C3380CC4-5D6E-409C-BE32-E72D297353CC}">
              <c16:uniqueId val="{00000014-C704-48B4-A008-B4781F7C3201}"/>
            </c:ext>
          </c:extLst>
        </c:ser>
        <c:ser>
          <c:idx val="2"/>
          <c:order val="4"/>
          <c:tx>
            <c:strRef>
              <c:f>'Misc data'!$D$229</c:f>
              <c:strCache>
                <c:ptCount val="1"/>
                <c:pt idx="0">
                  <c:v>Canada/Mexico</c:v>
                </c:pt>
              </c:strCache>
            </c:strRef>
          </c:tx>
          <c:spPr>
            <a:ln w="19050" cap="rnd">
              <a:solidFill>
                <a:schemeClr val="accent1">
                  <a:lumMod val="75000"/>
                </a:schemeClr>
              </a:solidFill>
              <a:round/>
            </a:ln>
            <a:effectLst/>
          </c:spPr>
          <c:marker>
            <c:symbol val="x"/>
            <c:size val="5"/>
            <c:spPr>
              <a:noFill/>
              <a:ln w="9525">
                <a:solidFill>
                  <a:schemeClr val="accent1">
                    <a:lumMod val="75000"/>
                  </a:schemeClr>
                </a:solidFill>
              </a:ln>
              <a:effectLst/>
            </c:spPr>
          </c:marker>
          <c:xVal>
            <c:numRef>
              <c:f>'Misc data'!$E$228:$J$228</c:f>
              <c:numCache>
                <c:formatCode>General</c:formatCode>
                <c:ptCount val="6"/>
                <c:pt idx="0">
                  <c:v>2022</c:v>
                </c:pt>
                <c:pt idx="1">
                  <c:v>2021</c:v>
                </c:pt>
                <c:pt idx="2">
                  <c:v>2020</c:v>
                </c:pt>
                <c:pt idx="3">
                  <c:v>2019</c:v>
                </c:pt>
                <c:pt idx="4">
                  <c:v>2018</c:v>
                </c:pt>
                <c:pt idx="5">
                  <c:v>2017</c:v>
                </c:pt>
              </c:numCache>
            </c:numRef>
          </c:xVal>
          <c:yVal>
            <c:numRef>
              <c:f>'Misc data'!$E$229:$J$229</c:f>
              <c:numCache>
                <c:formatCode>0.000</c:formatCode>
                <c:ptCount val="6"/>
                <c:pt idx="0">
                  <c:v>1.4166977653426045</c:v>
                </c:pt>
                <c:pt idx="1">
                  <c:v>1.2472132041433106</c:v>
                </c:pt>
                <c:pt idx="2">
                  <c:v>1.1393987675256347</c:v>
                </c:pt>
                <c:pt idx="3">
                  <c:v>1.1017410102267915</c:v>
                </c:pt>
                <c:pt idx="4">
                  <c:v>1.1224720643655581</c:v>
                </c:pt>
                <c:pt idx="5" formatCode="General">
                  <c:v>1</c:v>
                </c:pt>
              </c:numCache>
            </c:numRef>
          </c:yVal>
          <c:smooth val="0"/>
          <c:extLst>
            <c:ext xmlns:c16="http://schemas.microsoft.com/office/drawing/2014/chart" uri="{C3380CC4-5D6E-409C-BE32-E72D297353CC}">
              <c16:uniqueId val="{0000000C-C704-48B4-A008-B4781F7C3201}"/>
            </c:ext>
          </c:extLst>
        </c:ser>
        <c:ser>
          <c:idx val="4"/>
          <c:order val="5"/>
          <c:tx>
            <c:strRef>
              <c:f>'Misc data'!$D$233</c:f>
              <c:strCache>
                <c:ptCount val="1"/>
                <c:pt idx="0">
                  <c:v>China</c:v>
                </c:pt>
              </c:strCache>
            </c:strRef>
          </c:tx>
          <c:marker>
            <c:symbol val="diamond"/>
            <c:size val="9"/>
            <c:spPr>
              <a:solidFill>
                <a:schemeClr val="accent5">
                  <a:lumMod val="75000"/>
                </a:schemeClr>
              </a:solidFill>
              <a:ln w="9525">
                <a:solidFill>
                  <a:schemeClr val="accent5"/>
                </a:solidFill>
              </a:ln>
              <a:effectLst/>
            </c:spPr>
          </c:marker>
          <c:xVal>
            <c:numRef>
              <c:f>'Misc data'!$E$228:$J$228</c:f>
              <c:numCache>
                <c:formatCode>General</c:formatCode>
                <c:ptCount val="6"/>
                <c:pt idx="0">
                  <c:v>2022</c:v>
                </c:pt>
                <c:pt idx="1">
                  <c:v>2021</c:v>
                </c:pt>
                <c:pt idx="2">
                  <c:v>2020</c:v>
                </c:pt>
                <c:pt idx="3">
                  <c:v>2019</c:v>
                </c:pt>
                <c:pt idx="4">
                  <c:v>2018</c:v>
                </c:pt>
                <c:pt idx="5">
                  <c:v>2017</c:v>
                </c:pt>
              </c:numCache>
            </c:numRef>
          </c:xVal>
          <c:yVal>
            <c:numRef>
              <c:f>'Misc data'!$E$233:$J$233</c:f>
              <c:numCache>
                <c:formatCode>0.000</c:formatCode>
                <c:ptCount val="6"/>
                <c:pt idx="0">
                  <c:v>0.9644169975003678</c:v>
                </c:pt>
                <c:pt idx="1">
                  <c:v>0.97323922952507003</c:v>
                </c:pt>
                <c:pt idx="2">
                  <c:v>0.93265696221143968</c:v>
                </c:pt>
                <c:pt idx="3">
                  <c:v>0.87634171445375686</c:v>
                </c:pt>
                <c:pt idx="4">
                  <c:v>0.9439788266431407</c:v>
                </c:pt>
                <c:pt idx="5" formatCode="General">
                  <c:v>1</c:v>
                </c:pt>
              </c:numCache>
            </c:numRef>
          </c:yVal>
          <c:smooth val="0"/>
          <c:extLst>
            <c:ext xmlns:c16="http://schemas.microsoft.com/office/drawing/2014/chart" uri="{C3380CC4-5D6E-409C-BE32-E72D297353CC}">
              <c16:uniqueId val="{0000000E-C704-48B4-A008-B4781F7C3201}"/>
            </c:ext>
          </c:extLst>
        </c:ser>
        <c:dLbls>
          <c:showLegendKey val="0"/>
          <c:showVal val="0"/>
          <c:showCatName val="0"/>
          <c:showSerName val="0"/>
          <c:showPercent val="0"/>
          <c:showBubbleSize val="0"/>
        </c:dLbls>
        <c:axId val="648313792"/>
        <c:axId val="648316416"/>
      </c:scatterChart>
      <c:valAx>
        <c:axId val="648313792"/>
        <c:scaling>
          <c:orientation val="minMax"/>
          <c:max val="2022"/>
          <c:min val="201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316416"/>
        <c:crosses val="autoZero"/>
        <c:crossBetween val="midCat"/>
        <c:majorUnit val="1"/>
      </c:valAx>
      <c:valAx>
        <c:axId val="648316416"/>
        <c:scaling>
          <c:orientation val="minMax"/>
          <c:min val="0.70000000000000007"/>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8313792"/>
        <c:crosses val="autoZero"/>
        <c:crossBetween val="midCat"/>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901163473968742"/>
          <c:y val="0"/>
          <c:w val="0.79794257061150942"/>
          <c:h val="1"/>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B63-4277-B601-C436C6F57F4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B63-4277-B601-C436C6F57F4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B63-4277-B601-C436C6F57F4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B63-4277-B601-C436C6F57F4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B63-4277-B601-C436C6F57F4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B63-4277-B601-C436C6F57F4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B63-4277-B601-C436C6F57F4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9B63-4277-B601-C436C6F57F49}"/>
              </c:ext>
            </c:extLst>
          </c:dPt>
          <c:dLbls>
            <c:dLbl>
              <c:idx val="0"/>
              <c:layout>
                <c:manualLayout>
                  <c:x val="-0.11539135033493957"/>
                  <c:y val="6.3065806093000512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B63-4277-B601-C436C6F57F49}"/>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('Misc data'!$D$112,'Misc data'!$D$115,'Misc data'!$D$119,'Misc data'!$D$125,'Misc data'!$D$129,'Misc data'!$D$130,'Misc data'!$D$131,'Misc data'!$D$132)</c:f>
              <c:strCache>
                <c:ptCount val="8"/>
                <c:pt idx="0">
                  <c:v>Canada/Mexico</c:v>
                </c:pt>
                <c:pt idx="1">
                  <c:v>Asia Pacific</c:v>
                </c:pt>
                <c:pt idx="2">
                  <c:v>Europe</c:v>
                </c:pt>
                <c:pt idx="3">
                  <c:v>Africa and Middle East</c:v>
                </c:pt>
                <c:pt idx="4">
                  <c:v>China</c:v>
                </c:pt>
                <c:pt idx="5">
                  <c:v>India</c:v>
                </c:pt>
                <c:pt idx="6">
                  <c:v>Russia</c:v>
                </c:pt>
                <c:pt idx="7">
                  <c:v>Latin America</c:v>
                </c:pt>
              </c:strCache>
            </c:strRef>
          </c:cat>
          <c:val>
            <c:numRef>
              <c:f>('Misc data'!$I$112,'Misc data'!$I$115,'Misc data'!$I$119,'Misc data'!$I$125,'Misc data'!$I$129,'Misc data'!$I$130,'Misc data'!$I$131,'Misc data'!$I$132)</c:f>
              <c:numCache>
                <c:formatCode>0.0%</c:formatCode>
                <c:ptCount val="8"/>
                <c:pt idx="0">
                  <c:v>6.1603375527426167E-2</c:v>
                </c:pt>
                <c:pt idx="1">
                  <c:v>8.2700421940928276E-2</c:v>
                </c:pt>
                <c:pt idx="2">
                  <c:v>0.17046413502109703</c:v>
                </c:pt>
                <c:pt idx="3">
                  <c:v>7.763713080168777E-2</c:v>
                </c:pt>
                <c:pt idx="4">
                  <c:v>9.1139240506329128E-2</c:v>
                </c:pt>
                <c:pt idx="5">
                  <c:v>5.4008438818565409E-2</c:v>
                </c:pt>
                <c:pt idx="6">
                  <c:v>3.037974683544304E-2</c:v>
                </c:pt>
                <c:pt idx="7">
                  <c:v>6.0759493670886081E-2</c:v>
                </c:pt>
              </c:numCache>
            </c:numRef>
          </c:val>
          <c:extLst>
            <c:ext xmlns:c16="http://schemas.microsoft.com/office/drawing/2014/chart" uri="{C3380CC4-5D6E-409C-BE32-E72D297353CC}">
              <c16:uniqueId val="{00000010-9B63-4277-B601-C436C6F57F49}"/>
            </c:ext>
          </c:extLst>
        </c:ser>
        <c:dLbls>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386339337717919"/>
          <c:y val="1.128337831010561E-2"/>
          <c:w val="0.78228124496067897"/>
          <c:h val="0.98871662168989438"/>
        </c:manualLayout>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16F-44B3-9CF3-B97B5D7ECA1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16F-44B3-9CF3-B97B5D7ECA1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16F-44B3-9CF3-B97B5D7ECA1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16F-44B3-9CF3-B97B5D7ECA1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16F-44B3-9CF3-B97B5D7ECA1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16F-44B3-9CF3-B97B5D7ECA1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16F-44B3-9CF3-B97B5D7ECA1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16F-44B3-9CF3-B97B5D7ECA1F}"/>
              </c:ext>
            </c:extLst>
          </c:dPt>
          <c:dLbls>
            <c:dLbl>
              <c:idx val="7"/>
              <c:layout>
                <c:manualLayout>
                  <c:x val="-5.5382580994169622E-2"/>
                  <c:y val="3.3448673587081888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116F-44B3-9CF3-B97B5D7ECA1F}"/>
                </c:ext>
              </c:extLst>
            </c:dLbl>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ysClr val="windowText" lastClr="000000"/>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'Unit Sales'!$I$32:$I$39</c:f>
              <c:strCache>
                <c:ptCount val="8"/>
                <c:pt idx="0">
                  <c:v>Canada/Mexico</c:v>
                </c:pt>
                <c:pt idx="1">
                  <c:v>Asia Pacific</c:v>
                </c:pt>
                <c:pt idx="2">
                  <c:v>Europe</c:v>
                </c:pt>
                <c:pt idx="3">
                  <c:v>Africa and Middle East</c:v>
                </c:pt>
                <c:pt idx="4">
                  <c:v>China</c:v>
                </c:pt>
                <c:pt idx="5">
                  <c:v>India</c:v>
                </c:pt>
                <c:pt idx="6">
                  <c:v>Russia</c:v>
                </c:pt>
                <c:pt idx="7">
                  <c:v>Latin America</c:v>
                </c:pt>
              </c:strCache>
            </c:strRef>
          </c:cat>
          <c:val>
            <c:numRef>
              <c:f>'Unit Sales'!$J$32:$J$39</c:f>
              <c:numCache>
                <c:formatCode>General</c:formatCode>
                <c:ptCount val="8"/>
                <c:pt idx="0">
                  <c:v>0.13058656843298383</c:v>
                </c:pt>
                <c:pt idx="1">
                  <c:v>0.1086710116180221</c:v>
                </c:pt>
                <c:pt idx="2">
                  <c:v>6.2340606404080477E-2</c:v>
                </c:pt>
                <c:pt idx="3">
                  <c:v>4.6330405213941626E-2</c:v>
                </c:pt>
                <c:pt idx="4">
                  <c:v>3.7829413431567017E-2</c:v>
                </c:pt>
                <c:pt idx="5">
                  <c:v>2.6919807310852934E-2</c:v>
                </c:pt>
                <c:pt idx="6">
                  <c:v>2.3661093794276E-2</c:v>
                </c:pt>
                <c:pt idx="7">
                  <c:v>2.3661093794276E-2</c:v>
                </c:pt>
              </c:numCache>
            </c:numRef>
          </c:val>
          <c:extLst>
            <c:ext xmlns:c16="http://schemas.microsoft.com/office/drawing/2014/chart" uri="{C3380CC4-5D6E-409C-BE32-E72D297353CC}">
              <c16:uniqueId val="{00000010-116F-44B3-9CF3-B97B5D7ECA1F}"/>
            </c:ext>
          </c:extLst>
        </c:ser>
        <c:dLbls>
          <c:showLegendKey val="0"/>
          <c:showVal val="0"/>
          <c:showCatName val="0"/>
          <c:showSerName val="0"/>
          <c:showPercent val="0"/>
          <c:showBubbleSize val="0"/>
          <c:showLeaderLines val="1"/>
        </c:dLbls>
        <c:firstSliceAng val="308"/>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'N4 Mkt Securities'!$B$13:$K$13</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'N4 Mkt Securities'!$B$36:$K$36</c:f>
              <c:numCache>
                <c:formatCode>General</c:formatCode>
                <c:ptCount val="10"/>
                <c:pt idx="0">
                  <c:v>-42.999999999985448</c:v>
                </c:pt>
                <c:pt idx="1">
                  <c:v>11.800000000017462</c:v>
                </c:pt>
                <c:pt idx="2">
                  <c:v>66.600000000005821</c:v>
                </c:pt>
                <c:pt idx="3">
                  <c:v>121.40000000000873</c:v>
                </c:pt>
                <c:pt idx="4">
                  <c:v>176.20000000001164</c:v>
                </c:pt>
                <c:pt idx="5">
                  <c:v>266</c:v>
                </c:pt>
                <c:pt idx="6">
                  <c:v>306</c:v>
                </c:pt>
                <c:pt idx="7">
                  <c:v>270</c:v>
                </c:pt>
                <c:pt idx="8">
                  <c:v>336</c:v>
                </c:pt>
                <c:pt idx="9">
                  <c:v>525</c:v>
                </c:pt>
              </c:numCache>
            </c:numRef>
          </c:yVal>
          <c:smooth val="0"/>
          <c:extLst>
            <c:ext xmlns:c16="http://schemas.microsoft.com/office/drawing/2014/chart" uri="{C3380CC4-5D6E-409C-BE32-E72D297353CC}">
              <c16:uniqueId val="{00000000-4788-459D-98E8-C22BC68B7206}"/>
            </c:ext>
          </c:extLst>
        </c:ser>
        <c:dLbls>
          <c:showLegendKey val="0"/>
          <c:showVal val="0"/>
          <c:showCatName val="0"/>
          <c:showSerName val="0"/>
          <c:showPercent val="0"/>
          <c:showBubbleSize val="0"/>
        </c:dLbls>
        <c:axId val="566557632"/>
        <c:axId val="566555992"/>
      </c:scatterChart>
      <c:valAx>
        <c:axId val="5665576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55992"/>
        <c:crosses val="autoZero"/>
        <c:crossBetween val="midCat"/>
      </c:valAx>
      <c:valAx>
        <c:axId val="566555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576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'N14 OCI'!$C$43:$L$43</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'N14 OCI'!$C$56:$L$56</c:f>
              <c:numCache>
                <c:formatCode>0</c:formatCode>
                <c:ptCount val="10"/>
                <c:pt idx="0">
                  <c:v>6</c:v>
                </c:pt>
                <c:pt idx="1">
                  <c:v>2.8000000000001819</c:v>
                </c:pt>
                <c:pt idx="2">
                  <c:v>-0.4000000000005457</c:v>
                </c:pt>
                <c:pt idx="3">
                  <c:v>-3.6000000000003638</c:v>
                </c:pt>
                <c:pt idx="4">
                  <c:v>-6.8000000000001819</c:v>
                </c:pt>
                <c:pt idx="5">
                  <c:v>20</c:v>
                </c:pt>
                <c:pt idx="6" formatCode="General">
                  <c:v>-17</c:v>
                </c:pt>
                <c:pt idx="7" formatCode="General">
                  <c:v>-15</c:v>
                </c:pt>
                <c:pt idx="8" formatCode="General">
                  <c:v>-11</c:v>
                </c:pt>
                <c:pt idx="9" formatCode="General">
                  <c:v>-29</c:v>
                </c:pt>
              </c:numCache>
            </c:numRef>
          </c:yVal>
          <c:smooth val="0"/>
          <c:extLst>
            <c:ext xmlns:c16="http://schemas.microsoft.com/office/drawing/2014/chart" uri="{C3380CC4-5D6E-409C-BE32-E72D297353CC}">
              <c16:uniqueId val="{00000000-1625-4602-A201-B04E03BA53E1}"/>
            </c:ext>
          </c:extLst>
        </c:ser>
        <c:dLbls>
          <c:showLegendKey val="0"/>
          <c:showVal val="0"/>
          <c:showCatName val="0"/>
          <c:showSerName val="0"/>
          <c:showPercent val="0"/>
          <c:showBubbleSize val="0"/>
        </c:dLbls>
        <c:axId val="873448504"/>
        <c:axId val="873449160"/>
      </c:scatterChart>
      <c:valAx>
        <c:axId val="8734485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449160"/>
        <c:crosses val="autoZero"/>
        <c:crossBetween val="midCat"/>
      </c:valAx>
      <c:valAx>
        <c:axId val="8734491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344850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'N21 Op Segs'!$K$13:$T$13</c:f>
              <c:numCache>
                <c:formatCode>General</c:formatCode>
                <c:ptCount val="10"/>
                <c:pt idx="0">
                  <c:v>2022</c:v>
                </c:pt>
                <c:pt idx="1">
                  <c:v>2021</c:v>
                </c:pt>
                <c:pt idx="2">
                  <c:v>2020</c:v>
                </c:pt>
                <c:pt idx="3">
                  <c:v>2019</c:v>
                </c:pt>
                <c:pt idx="4">
                  <c:v>2018</c:v>
                </c:pt>
                <c:pt idx="5">
                  <c:v>2017</c:v>
                </c:pt>
                <c:pt idx="6">
                  <c:v>2016</c:v>
                </c:pt>
                <c:pt idx="7">
                  <c:v>2015</c:v>
                </c:pt>
                <c:pt idx="8">
                  <c:v>2014</c:v>
                </c:pt>
                <c:pt idx="9">
                  <c:v>2013</c:v>
                </c:pt>
              </c:numCache>
            </c:numRef>
          </c:xVal>
          <c:yVal>
            <c:numRef>
              <c:f>'N21 Op Segs'!$K$21:$T$21</c:f>
              <c:numCache>
                <c:formatCode>0</c:formatCode>
                <c:ptCount val="10"/>
                <c:pt idx="0">
                  <c:v>617.5</c:v>
                </c:pt>
                <c:pt idx="1">
                  <c:v>660</c:v>
                </c:pt>
                <c:pt idx="2">
                  <c:v>702.5</c:v>
                </c:pt>
                <c:pt idx="3">
                  <c:v>745</c:v>
                </c:pt>
                <c:pt idx="4">
                  <c:v>745</c:v>
                </c:pt>
                <c:pt idx="5" formatCode="General">
                  <c:v>506</c:v>
                </c:pt>
                <c:pt idx="6" formatCode="General">
                  <c:v>531</c:v>
                </c:pt>
                <c:pt idx="7" formatCode="General">
                  <c:v>744</c:v>
                </c:pt>
                <c:pt idx="8" formatCode="General">
                  <c:v>743</c:v>
                </c:pt>
                <c:pt idx="9" formatCode="General">
                  <c:v>676</c:v>
                </c:pt>
              </c:numCache>
            </c:numRef>
          </c:yVal>
          <c:smooth val="0"/>
          <c:extLst>
            <c:ext xmlns:c16="http://schemas.microsoft.com/office/drawing/2014/chart" uri="{C3380CC4-5D6E-409C-BE32-E72D297353CC}">
              <c16:uniqueId val="{00000000-6603-4CDF-A7F6-4D06E40B9242}"/>
            </c:ext>
          </c:extLst>
        </c:ser>
        <c:dLbls>
          <c:showLegendKey val="0"/>
          <c:showVal val="0"/>
          <c:showCatName val="0"/>
          <c:showSerName val="0"/>
          <c:showPercent val="0"/>
          <c:showBubbleSize val="0"/>
        </c:dLbls>
        <c:axId val="501216312"/>
        <c:axId val="501220904"/>
      </c:scatterChart>
      <c:valAx>
        <c:axId val="5012163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220904"/>
        <c:crosses val="autoZero"/>
        <c:crossBetween val="midCat"/>
      </c:valAx>
      <c:valAx>
        <c:axId val="501220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121631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6</xdr:col>
      <xdr:colOff>225425</xdr:colOff>
      <xdr:row>27</xdr:row>
      <xdr:rowOff>163511</xdr:rowOff>
    </xdr:from>
    <xdr:to>
      <xdr:col>11</xdr:col>
      <xdr:colOff>342900</xdr:colOff>
      <xdr:row>45</xdr:row>
      <xdr:rowOff>117474</xdr:rowOff>
    </xdr:to>
    <xdr:graphicFrame macro="">
      <xdr:nvGraphicFramePr>
        <xdr:cNvPr id="3" name="Chart 2">
          <a:extLst>
            <a:ext uri="{FF2B5EF4-FFF2-40B4-BE49-F238E27FC236}">
              <a16:creationId xmlns:a16="http://schemas.microsoft.com/office/drawing/2014/main" id="{6F6047C8-FB04-4B6E-807E-55139813D2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56695</xdr:colOff>
      <xdr:row>11</xdr:row>
      <xdr:rowOff>168955</xdr:rowOff>
    </xdr:from>
    <xdr:to>
      <xdr:col>27</xdr:col>
      <xdr:colOff>449827</xdr:colOff>
      <xdr:row>29</xdr:row>
      <xdr:rowOff>57492</xdr:rowOff>
    </xdr:to>
    <xdr:graphicFrame macro="">
      <xdr:nvGraphicFramePr>
        <xdr:cNvPr id="5" name="Chart 4">
          <a:extLst>
            <a:ext uri="{FF2B5EF4-FFF2-40B4-BE49-F238E27FC236}">
              <a16:creationId xmlns:a16="http://schemas.microsoft.com/office/drawing/2014/main" id="{A91149FE-DDC5-4E8F-9B47-92EAE0A84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46038</xdr:colOff>
      <xdr:row>36</xdr:row>
      <xdr:rowOff>79373</xdr:rowOff>
    </xdr:from>
    <xdr:to>
      <xdr:col>27</xdr:col>
      <xdr:colOff>439738</xdr:colOff>
      <xdr:row>53</xdr:row>
      <xdr:rowOff>130174</xdr:rowOff>
    </xdr:to>
    <xdr:graphicFrame macro="">
      <xdr:nvGraphicFramePr>
        <xdr:cNvPr id="7" name="Chart 6">
          <a:extLst>
            <a:ext uri="{FF2B5EF4-FFF2-40B4-BE49-F238E27FC236}">
              <a16:creationId xmlns:a16="http://schemas.microsoft.com/office/drawing/2014/main" id="{DAB4BC9D-1D36-4DCA-8709-F81CDCDC82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29766</xdr:colOff>
      <xdr:row>174</xdr:row>
      <xdr:rowOff>134539</xdr:rowOff>
    </xdr:from>
    <xdr:to>
      <xdr:col>16</xdr:col>
      <xdr:colOff>345678</xdr:colOff>
      <xdr:row>190</xdr:row>
      <xdr:rowOff>26589</xdr:rowOff>
    </xdr:to>
    <xdr:graphicFrame macro="">
      <xdr:nvGraphicFramePr>
        <xdr:cNvPr id="3" name="Chart 2">
          <a:extLst>
            <a:ext uri="{FF2B5EF4-FFF2-40B4-BE49-F238E27FC236}">
              <a16:creationId xmlns:a16="http://schemas.microsoft.com/office/drawing/2014/main" id="{CD8EC548-5C70-4C99-AC44-3FF6FD26E3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583008</xdr:colOff>
      <xdr:row>174</xdr:row>
      <xdr:rowOff>90090</xdr:rowOff>
    </xdr:from>
    <xdr:to>
      <xdr:col>24</xdr:col>
      <xdr:colOff>297258</xdr:colOff>
      <xdr:row>189</xdr:row>
      <xdr:rowOff>154384</xdr:rowOff>
    </xdr:to>
    <xdr:graphicFrame macro="">
      <xdr:nvGraphicFramePr>
        <xdr:cNvPr id="8" name="Chart 7">
          <a:extLst>
            <a:ext uri="{FF2B5EF4-FFF2-40B4-BE49-F238E27FC236}">
              <a16:creationId xmlns:a16="http://schemas.microsoft.com/office/drawing/2014/main" id="{FC30CEC3-B89E-4871-9904-1B88B5A2CD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327025</xdr:colOff>
      <xdr:row>19</xdr:row>
      <xdr:rowOff>98425</xdr:rowOff>
    </xdr:from>
    <xdr:to>
      <xdr:col>19</xdr:col>
      <xdr:colOff>111125</xdr:colOff>
      <xdr:row>33</xdr:row>
      <xdr:rowOff>174625</xdr:rowOff>
    </xdr:to>
    <xdr:graphicFrame macro="">
      <xdr:nvGraphicFramePr>
        <xdr:cNvPr id="9" name="Chart 8">
          <a:extLst>
            <a:ext uri="{FF2B5EF4-FFF2-40B4-BE49-F238E27FC236}">
              <a16:creationId xmlns:a16="http://schemas.microsoft.com/office/drawing/2014/main" id="{C6E88534-0F56-4F85-898D-F36004102B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16</xdr:col>
      <xdr:colOff>152400</xdr:colOff>
      <xdr:row>127</xdr:row>
      <xdr:rowOff>171450</xdr:rowOff>
    </xdr:from>
    <xdr:to>
      <xdr:col>23</xdr:col>
      <xdr:colOff>457200</xdr:colOff>
      <xdr:row>143</xdr:row>
      <xdr:rowOff>6350</xdr:rowOff>
    </xdr:to>
    <xdr:graphicFrame macro="">
      <xdr:nvGraphicFramePr>
        <xdr:cNvPr id="4" name="Chart 3">
          <a:extLst>
            <a:ext uri="{FF2B5EF4-FFF2-40B4-BE49-F238E27FC236}">
              <a16:creationId xmlns:a16="http://schemas.microsoft.com/office/drawing/2014/main" id="{C71C7B7A-C041-4AD6-A6C2-C9D9433536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190500</xdr:colOff>
      <xdr:row>111</xdr:row>
      <xdr:rowOff>85725</xdr:rowOff>
    </xdr:from>
    <xdr:to>
      <xdr:col>23</xdr:col>
      <xdr:colOff>495300</xdr:colOff>
      <xdr:row>126</xdr:row>
      <xdr:rowOff>114300</xdr:rowOff>
    </xdr:to>
    <xdr:graphicFrame macro="">
      <xdr:nvGraphicFramePr>
        <xdr:cNvPr id="5" name="Chart 4">
          <a:extLst>
            <a:ext uri="{FF2B5EF4-FFF2-40B4-BE49-F238E27FC236}">
              <a16:creationId xmlns:a16="http://schemas.microsoft.com/office/drawing/2014/main" id="{04A65325-8FA1-4957-A11A-5F737E43BD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434975</xdr:colOff>
      <xdr:row>111</xdr:row>
      <xdr:rowOff>171450</xdr:rowOff>
    </xdr:from>
    <xdr:to>
      <xdr:col>32</xdr:col>
      <xdr:colOff>130175</xdr:colOff>
      <xdr:row>127</xdr:row>
      <xdr:rowOff>15875</xdr:rowOff>
    </xdr:to>
    <xdr:graphicFrame macro="">
      <xdr:nvGraphicFramePr>
        <xdr:cNvPr id="7" name="Chart 6">
          <a:extLst>
            <a:ext uri="{FF2B5EF4-FFF2-40B4-BE49-F238E27FC236}">
              <a16:creationId xmlns:a16="http://schemas.microsoft.com/office/drawing/2014/main" id="{DF19B0DD-40E2-4C38-9540-ABF43E63CE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402167</xdr:colOff>
      <xdr:row>128</xdr:row>
      <xdr:rowOff>74084</xdr:rowOff>
    </xdr:from>
    <xdr:to>
      <xdr:col>32</xdr:col>
      <xdr:colOff>100542</xdr:colOff>
      <xdr:row>143</xdr:row>
      <xdr:rowOff>84667</xdr:rowOff>
    </xdr:to>
    <xdr:graphicFrame macro="">
      <xdr:nvGraphicFramePr>
        <xdr:cNvPr id="8" name="Chart 7">
          <a:extLst>
            <a:ext uri="{FF2B5EF4-FFF2-40B4-BE49-F238E27FC236}">
              <a16:creationId xmlns:a16="http://schemas.microsoft.com/office/drawing/2014/main" id="{749DFB28-A224-48DB-9245-C813DECBB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133350</xdr:colOff>
      <xdr:row>1</xdr:row>
      <xdr:rowOff>165100</xdr:rowOff>
    </xdr:from>
    <xdr:to>
      <xdr:col>16</xdr:col>
      <xdr:colOff>292100</xdr:colOff>
      <xdr:row>8</xdr:row>
      <xdr:rowOff>127000</xdr:rowOff>
    </xdr:to>
    <xdr:sp macro="" textlink="">
      <xdr:nvSpPr>
        <xdr:cNvPr id="2" name="TextBox 1">
          <a:extLst>
            <a:ext uri="{FF2B5EF4-FFF2-40B4-BE49-F238E27FC236}">
              <a16:creationId xmlns:a16="http://schemas.microsoft.com/office/drawing/2014/main" id="{38D3C4A5-8664-45F1-9B73-9CA6D5EF3F9E}"/>
            </a:ext>
          </a:extLst>
        </xdr:cNvPr>
        <xdr:cNvSpPr txBox="1"/>
      </xdr:nvSpPr>
      <xdr:spPr>
        <a:xfrm>
          <a:off x="6584950" y="349250"/>
          <a:ext cx="5035550" cy="125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Our Engine segment manufactures and markets a broad range of diesel and natural gas powered engines under the Cummins brand name, as well as certain customer brand names, for the heavy- and medium-duty truck, bus, recreational vehicle (RV), light-duty automotive, construction, mining, marine, rail, oil and gas, defense and agricultural markets. We manufacture a wide variety of engine products including:</a:t>
          </a:r>
        </a:p>
        <a:p>
          <a:r>
            <a:rPr lang="en-US" sz="900"/>
            <a:t>• Engines with a displacement range of 2.8 to 15 liters and horsepower ranging from 48 to 715 and</a:t>
          </a:r>
        </a:p>
        <a:p>
          <a:r>
            <a:rPr lang="en-US" sz="900"/>
            <a:t>• New parts and service, as well as remanufactured parts and engines, through our extensive distribution network</a:t>
          </a:r>
        </a:p>
      </xdr:txBody>
    </xdr:sp>
    <xdr:clientData/>
  </xdr:twoCellAnchor>
  <xdr:twoCellAnchor>
    <xdr:from>
      <xdr:col>8</xdr:col>
      <xdr:colOff>0</xdr:colOff>
      <xdr:row>10</xdr:row>
      <xdr:rowOff>0</xdr:rowOff>
    </xdr:from>
    <xdr:to>
      <xdr:col>16</xdr:col>
      <xdr:colOff>158750</xdr:colOff>
      <xdr:row>16</xdr:row>
      <xdr:rowOff>146050</xdr:rowOff>
    </xdr:to>
    <xdr:sp macro="" textlink="">
      <xdr:nvSpPr>
        <xdr:cNvPr id="3" name="TextBox 2">
          <a:extLst>
            <a:ext uri="{FF2B5EF4-FFF2-40B4-BE49-F238E27FC236}">
              <a16:creationId xmlns:a16="http://schemas.microsoft.com/office/drawing/2014/main" id="{21CA4021-B146-4E45-AE94-87553A49619A}"/>
            </a:ext>
          </a:extLst>
        </xdr:cNvPr>
        <xdr:cNvSpPr txBox="1"/>
      </xdr:nvSpPr>
      <xdr:spPr>
        <a:xfrm>
          <a:off x="6451600" y="1841500"/>
          <a:ext cx="5035550" cy="125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Our Distribution segment consists of 28 wholly-owned and 10 joint venture distributors that service and distribute the full range of our products and services to end-users at approximately 450 locations in over 90 distribution territories. Our wholly-owned distributors are located in key markets, including North America, Australia, Europe, China, Africa, Russia, Japan, Brazil, Singapore and Central America, while our joint venture distributors are located in key markets, including South America, the Middle East, India, Thailand and Singapore.</a:t>
          </a:r>
        </a:p>
      </xdr:txBody>
    </xdr:sp>
    <xdr:clientData/>
  </xdr:twoCellAnchor>
  <xdr:twoCellAnchor>
    <xdr:from>
      <xdr:col>8</xdr:col>
      <xdr:colOff>0</xdr:colOff>
      <xdr:row>17</xdr:row>
      <xdr:rowOff>0</xdr:rowOff>
    </xdr:from>
    <xdr:to>
      <xdr:col>16</xdr:col>
      <xdr:colOff>158750</xdr:colOff>
      <xdr:row>23</xdr:row>
      <xdr:rowOff>146050</xdr:rowOff>
    </xdr:to>
    <xdr:sp macro="" textlink="">
      <xdr:nvSpPr>
        <xdr:cNvPr id="4" name="TextBox 3">
          <a:extLst>
            <a:ext uri="{FF2B5EF4-FFF2-40B4-BE49-F238E27FC236}">
              <a16:creationId xmlns:a16="http://schemas.microsoft.com/office/drawing/2014/main" id="{55ACC691-5DF3-43C8-809E-E57675579E57}"/>
            </a:ext>
          </a:extLst>
        </xdr:cNvPr>
        <xdr:cNvSpPr txBox="1"/>
      </xdr:nvSpPr>
      <xdr:spPr>
        <a:xfrm>
          <a:off x="6451600" y="3130550"/>
          <a:ext cx="5035550" cy="125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Our Components segment supplies products which complement our Engine and Power Systems segments, including aftertreatment systems, turbochargers, transmissions, filtration products and fuel systems for commercial diesel applications. We manufacture filtration systems for on- and off-highway heavy-duty and medium-duty equipment, and we are a supplier of filtration products for industrial vehicle applications. In addition, we develop aftertreatment systems and turbochargers to help our customers meet increasingly stringent emission standards and fuel systems which have primarily supplied our Engine segment and our joint venture partners Beijing Foton, Dongfeng, Scania and Tata.</a:t>
          </a:r>
        </a:p>
        <a:p>
          <a:endParaRPr lang="en-US" sz="900"/>
        </a:p>
      </xdr:txBody>
    </xdr:sp>
    <xdr:clientData/>
  </xdr:twoCellAnchor>
  <xdr:twoCellAnchor>
    <xdr:from>
      <xdr:col>3</xdr:col>
      <xdr:colOff>78316</xdr:colOff>
      <xdr:row>27</xdr:row>
      <xdr:rowOff>120650</xdr:rowOff>
    </xdr:from>
    <xdr:to>
      <xdr:col>6</xdr:col>
      <xdr:colOff>332316</xdr:colOff>
      <xdr:row>32</xdr:row>
      <xdr:rowOff>171450</xdr:rowOff>
    </xdr:to>
    <xdr:sp macro="" textlink="">
      <xdr:nvSpPr>
        <xdr:cNvPr id="5" name="TextBox 4">
          <a:extLst>
            <a:ext uri="{FF2B5EF4-FFF2-40B4-BE49-F238E27FC236}">
              <a16:creationId xmlns:a16="http://schemas.microsoft.com/office/drawing/2014/main" id="{6BF5C799-0FF8-4E8F-ADFB-98C11B190A6F}"/>
            </a:ext>
          </a:extLst>
        </xdr:cNvPr>
        <xdr:cNvSpPr txBox="1"/>
      </xdr:nvSpPr>
      <xdr:spPr>
        <a:xfrm>
          <a:off x="1898649" y="7825317"/>
          <a:ext cx="4353278" cy="9680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Seasonality:</a:t>
          </a:r>
          <a:r>
            <a:rPr lang="en-US" sz="1100" b="1" baseline="0"/>
            <a:t> </a:t>
          </a:r>
          <a:r>
            <a:rPr lang="en-US" sz="1100"/>
            <a:t>our Power Systems segment normally experiences seasonal declines in the first quarter due to general declines in construction spending during this period and our Distribution segment normally experiences seasonal declines in its first quarter business activity due to holiday periods in Asia and Australia.</a:t>
          </a:r>
        </a:p>
        <a:p>
          <a:endParaRPr lang="en-US" sz="1100"/>
        </a:p>
      </xdr:txBody>
    </xdr:sp>
    <xdr:clientData/>
  </xdr:twoCellAnchor>
  <xdr:twoCellAnchor>
    <xdr:from>
      <xdr:col>3</xdr:col>
      <xdr:colOff>69850</xdr:colOff>
      <xdr:row>33</xdr:row>
      <xdr:rowOff>57150</xdr:rowOff>
    </xdr:from>
    <xdr:to>
      <xdr:col>6</xdr:col>
      <xdr:colOff>323850</xdr:colOff>
      <xdr:row>35</xdr:row>
      <xdr:rowOff>50800</xdr:rowOff>
    </xdr:to>
    <xdr:sp macro="" textlink="">
      <xdr:nvSpPr>
        <xdr:cNvPr id="6" name="TextBox 5">
          <a:extLst>
            <a:ext uri="{FF2B5EF4-FFF2-40B4-BE49-F238E27FC236}">
              <a16:creationId xmlns:a16="http://schemas.microsoft.com/office/drawing/2014/main" id="{A23C02FE-5856-47C1-9063-C2624840263E}"/>
            </a:ext>
          </a:extLst>
        </xdr:cNvPr>
        <xdr:cNvSpPr txBox="1"/>
      </xdr:nvSpPr>
      <xdr:spPr>
        <a:xfrm>
          <a:off x="1898650" y="8896350"/>
          <a:ext cx="4356100" cy="361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We have a controlling interest in Cummins India Ltd. (CIL)</a:t>
          </a:r>
        </a:p>
      </xdr:txBody>
    </xdr:sp>
    <xdr:clientData/>
  </xdr:twoCellAnchor>
  <xdr:twoCellAnchor>
    <xdr:from>
      <xdr:col>2</xdr:col>
      <xdr:colOff>603250</xdr:colOff>
      <xdr:row>52</xdr:row>
      <xdr:rowOff>139700</xdr:rowOff>
    </xdr:from>
    <xdr:to>
      <xdr:col>7</xdr:col>
      <xdr:colOff>69850</xdr:colOff>
      <xdr:row>58</xdr:row>
      <xdr:rowOff>57150</xdr:rowOff>
    </xdr:to>
    <xdr:sp macro="" textlink="">
      <xdr:nvSpPr>
        <xdr:cNvPr id="7" name="TextBox 6">
          <a:extLst>
            <a:ext uri="{FF2B5EF4-FFF2-40B4-BE49-F238E27FC236}">
              <a16:creationId xmlns:a16="http://schemas.microsoft.com/office/drawing/2014/main" id="{1F63898B-7CBD-4753-B602-F51A8021160D}"/>
            </a:ext>
          </a:extLst>
        </xdr:cNvPr>
        <xdr:cNvSpPr txBox="1"/>
      </xdr:nvSpPr>
      <xdr:spPr>
        <a:xfrm>
          <a:off x="1822450" y="12477750"/>
          <a:ext cx="4787900" cy="1022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EMPLOYEES</a:t>
          </a:r>
        </a:p>
        <a:p>
          <a:r>
            <a:rPr lang="en-US" sz="1100"/>
            <a:t>At December 31, 2017, we employed approximately 58,600 persons worldwide. Approximately 20,830 of our employees worldwide are represented by various unions under collective bargaining agreements that expire between 2018 and 2022.</a:t>
          </a:r>
        </a:p>
      </xdr:txBody>
    </xdr:sp>
    <xdr:clientData/>
  </xdr:twoCellAnchor>
  <xdr:twoCellAnchor>
    <xdr:from>
      <xdr:col>2</xdr:col>
      <xdr:colOff>259951</xdr:colOff>
      <xdr:row>241</xdr:row>
      <xdr:rowOff>164700</xdr:rowOff>
    </xdr:from>
    <xdr:to>
      <xdr:col>9</xdr:col>
      <xdr:colOff>434973</xdr:colOff>
      <xdr:row>264</xdr:row>
      <xdr:rowOff>5555</xdr:rowOff>
    </xdr:to>
    <xdr:graphicFrame macro="">
      <xdr:nvGraphicFramePr>
        <xdr:cNvPr id="15" name="Chart 14">
          <a:extLst>
            <a:ext uri="{FF2B5EF4-FFF2-40B4-BE49-F238E27FC236}">
              <a16:creationId xmlns:a16="http://schemas.microsoft.com/office/drawing/2014/main" id="{0AC7ED4E-4B2F-496F-B400-7E399AACC6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585789</xdr:colOff>
      <xdr:row>239</xdr:row>
      <xdr:rowOff>88899</xdr:rowOff>
    </xdr:from>
    <xdr:to>
      <xdr:col>27</xdr:col>
      <xdr:colOff>226220</xdr:colOff>
      <xdr:row>262</xdr:row>
      <xdr:rowOff>11113</xdr:rowOff>
    </xdr:to>
    <xdr:graphicFrame macro="">
      <xdr:nvGraphicFramePr>
        <xdr:cNvPr id="17" name="Chart 16">
          <a:extLst>
            <a:ext uri="{FF2B5EF4-FFF2-40B4-BE49-F238E27FC236}">
              <a16:creationId xmlns:a16="http://schemas.microsoft.com/office/drawing/2014/main" id="{9ADCD9E0-9D56-4453-9F57-442358A1BF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315913</xdr:colOff>
      <xdr:row>239</xdr:row>
      <xdr:rowOff>97631</xdr:rowOff>
    </xdr:from>
    <xdr:to>
      <xdr:col>18</xdr:col>
      <xdr:colOff>389732</xdr:colOff>
      <xdr:row>262</xdr:row>
      <xdr:rowOff>50800</xdr:rowOff>
    </xdr:to>
    <xdr:graphicFrame macro="">
      <xdr:nvGraphicFramePr>
        <xdr:cNvPr id="18" name="Chart 17">
          <a:extLst>
            <a:ext uri="{FF2B5EF4-FFF2-40B4-BE49-F238E27FC236}">
              <a16:creationId xmlns:a16="http://schemas.microsoft.com/office/drawing/2014/main" id="{DD222EA3-0CD4-4701-BC6D-D565477F1A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20</xdr:col>
      <xdr:colOff>44450</xdr:colOff>
      <xdr:row>40</xdr:row>
      <xdr:rowOff>31750</xdr:rowOff>
    </xdr:from>
    <xdr:to>
      <xdr:col>25</xdr:col>
      <xdr:colOff>171450</xdr:colOff>
      <xdr:row>43</xdr:row>
      <xdr:rowOff>31750</xdr:rowOff>
    </xdr:to>
    <xdr:sp macro="" textlink="">
      <xdr:nvSpPr>
        <xdr:cNvPr id="2" name="TextBox 1">
          <a:extLst>
            <a:ext uri="{FF2B5EF4-FFF2-40B4-BE49-F238E27FC236}">
              <a16:creationId xmlns:a16="http://schemas.microsoft.com/office/drawing/2014/main" id="{E8B97386-03D0-4537-AFF4-7580FC19443D}"/>
            </a:ext>
          </a:extLst>
        </xdr:cNvPr>
        <xdr:cNvSpPr txBox="1"/>
      </xdr:nvSpPr>
      <xdr:spPr>
        <a:xfrm>
          <a:off x="12884150" y="5372100"/>
          <a:ext cx="3175000" cy="55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The impacts of the Tax Legislation resulted in additional tax expense of $781 million</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16</xdr:col>
      <xdr:colOff>688975</xdr:colOff>
      <xdr:row>20</xdr:row>
      <xdr:rowOff>73025</xdr:rowOff>
    </xdr:from>
    <xdr:to>
      <xdr:col>24</xdr:col>
      <xdr:colOff>98425</xdr:colOff>
      <xdr:row>35</xdr:row>
      <xdr:rowOff>53975</xdr:rowOff>
    </xdr:to>
    <xdr:graphicFrame macro="">
      <xdr:nvGraphicFramePr>
        <xdr:cNvPr id="2" name="Chart 1">
          <a:extLst>
            <a:ext uri="{FF2B5EF4-FFF2-40B4-BE49-F238E27FC236}">
              <a16:creationId xmlns:a16="http://schemas.microsoft.com/office/drawing/2014/main" id="{E4461CB5-44CC-4083-B65F-4927AE30D5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18</xdr:col>
      <xdr:colOff>187325</xdr:colOff>
      <xdr:row>47</xdr:row>
      <xdr:rowOff>22225</xdr:rowOff>
    </xdr:from>
    <xdr:to>
      <xdr:col>25</xdr:col>
      <xdr:colOff>492125</xdr:colOff>
      <xdr:row>62</xdr:row>
      <xdr:rowOff>3175</xdr:rowOff>
    </xdr:to>
    <xdr:graphicFrame macro="">
      <xdr:nvGraphicFramePr>
        <xdr:cNvPr id="3" name="Chart 2">
          <a:extLst>
            <a:ext uri="{FF2B5EF4-FFF2-40B4-BE49-F238E27FC236}">
              <a16:creationId xmlns:a16="http://schemas.microsoft.com/office/drawing/2014/main" id="{EAECB291-9076-478C-BA5B-00061693BA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20</xdr:col>
      <xdr:colOff>384175</xdr:colOff>
      <xdr:row>12</xdr:row>
      <xdr:rowOff>85725</xdr:rowOff>
    </xdr:from>
    <xdr:to>
      <xdr:col>28</xdr:col>
      <xdr:colOff>79375</xdr:colOff>
      <xdr:row>27</xdr:row>
      <xdr:rowOff>66675</xdr:rowOff>
    </xdr:to>
    <xdr:graphicFrame macro="">
      <xdr:nvGraphicFramePr>
        <xdr:cNvPr id="3" name="Chart 2">
          <a:extLst>
            <a:ext uri="{FF2B5EF4-FFF2-40B4-BE49-F238E27FC236}">
              <a16:creationId xmlns:a16="http://schemas.microsoft.com/office/drawing/2014/main" id="{C336D9DA-B106-439A-A36C-5C3CC9CB02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266700</xdr:colOff>
      <xdr:row>28</xdr:row>
      <xdr:rowOff>139700</xdr:rowOff>
    </xdr:from>
    <xdr:to>
      <xdr:col>23</xdr:col>
      <xdr:colOff>342900</xdr:colOff>
      <xdr:row>40</xdr:row>
      <xdr:rowOff>95250</xdr:rowOff>
    </xdr:to>
    <xdr:sp macro="" textlink="">
      <xdr:nvSpPr>
        <xdr:cNvPr id="5" name="TextBox 4">
          <a:extLst>
            <a:ext uri="{FF2B5EF4-FFF2-40B4-BE49-F238E27FC236}">
              <a16:creationId xmlns:a16="http://schemas.microsoft.com/office/drawing/2014/main" id="{BFD2F5A5-26F0-4C45-9873-143C90328CDC}"/>
            </a:ext>
          </a:extLst>
        </xdr:cNvPr>
        <xdr:cNvSpPr txBox="1"/>
      </xdr:nvSpPr>
      <xdr:spPr>
        <a:xfrm>
          <a:off x="14763750" y="5295900"/>
          <a:ext cx="4343400" cy="21653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We plan to spend between $730 million and $760 million in 2018 on capital expenditures as we continue with product launches and facility improvements. Approximately 50 percent of our capital expenditures are expected to be invested outside of the U.S. in 2018.</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7</xdr:col>
      <xdr:colOff>1270000</xdr:colOff>
      <xdr:row>42</xdr:row>
      <xdr:rowOff>79377</xdr:rowOff>
    </xdr:from>
    <xdr:to>
      <xdr:col>16</xdr:col>
      <xdr:colOff>349250</xdr:colOff>
      <xdr:row>52</xdr:row>
      <xdr:rowOff>15877</xdr:rowOff>
    </xdr:to>
    <xdr:sp macro="" textlink="">
      <xdr:nvSpPr>
        <xdr:cNvPr id="2" name="TextBox 1">
          <a:extLst>
            <a:ext uri="{FF2B5EF4-FFF2-40B4-BE49-F238E27FC236}">
              <a16:creationId xmlns:a16="http://schemas.microsoft.com/office/drawing/2014/main" id="{DFD56299-2753-452A-A745-B71937ABF5FA}"/>
            </a:ext>
          </a:extLst>
        </xdr:cNvPr>
        <xdr:cNvSpPr txBox="1"/>
      </xdr:nvSpPr>
      <xdr:spPr>
        <a:xfrm>
          <a:off x="7493000" y="7747002"/>
          <a:ext cx="5310188" cy="176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a:solidFill>
                <a:schemeClr val="dk1"/>
              </a:solidFill>
              <a:effectLst/>
              <a:latin typeface="+mn-lt"/>
              <a:ea typeface="+mn-ea"/>
              <a:cs typeface="+mn-cs"/>
            </a:rPr>
            <a:t>https://www.investopedia.com/university/ratio-analysis/using-ratios.asp</a:t>
          </a:r>
        </a:p>
        <a:p>
          <a:endParaRPr lang="en-US" sz="1100" b="0" i="0">
            <a:solidFill>
              <a:schemeClr val="dk1"/>
            </a:solidFill>
            <a:effectLst/>
            <a:latin typeface="+mn-lt"/>
            <a:ea typeface="+mn-ea"/>
            <a:cs typeface="+mn-cs"/>
          </a:endParaRPr>
        </a:p>
        <a:p>
          <a:r>
            <a:rPr lang="en-US" sz="1100" b="0" i="0">
              <a:solidFill>
                <a:schemeClr val="dk1"/>
              </a:solidFill>
              <a:effectLst/>
              <a:latin typeface="+mn-lt"/>
              <a:ea typeface="+mn-ea"/>
              <a:cs typeface="+mn-cs"/>
            </a:rPr>
            <a:t>onceptually, the income statement assumes the following sequence: A company takes in sales revenue, then pays direct costs of the product of service. What’s left is </a:t>
          </a:r>
          <a:r>
            <a:rPr lang="en-US" sz="1100" b="0" i="0" u="none" strike="noStrike">
              <a:solidFill>
                <a:schemeClr val="dk1"/>
              </a:solidFill>
              <a:effectLst/>
              <a:latin typeface="+mn-lt"/>
              <a:ea typeface="+mn-ea"/>
              <a:cs typeface="+mn-cs"/>
              <a:hlinkClick xmlns:r="http://schemas.openxmlformats.org/officeDocument/2006/relationships" r:id=""/>
            </a:rPr>
            <a:t>gross margin</a:t>
          </a:r>
          <a:r>
            <a:rPr lang="en-US" sz="1100" b="0" i="0">
              <a:solidFill>
                <a:schemeClr val="dk1"/>
              </a:solidFill>
              <a:effectLst/>
              <a:latin typeface="+mn-lt"/>
              <a:ea typeface="+mn-ea"/>
              <a:cs typeface="+mn-cs"/>
            </a:rPr>
            <a:t>. Then it pays indirect costs like company headquarters, advertising, and R&amp;D. What’s left is </a:t>
          </a:r>
          <a:r>
            <a:rPr lang="en-US" sz="1100" b="0" i="0" u="none" strike="noStrike">
              <a:solidFill>
                <a:schemeClr val="dk1"/>
              </a:solidFill>
              <a:effectLst/>
              <a:latin typeface="+mn-lt"/>
              <a:ea typeface="+mn-ea"/>
              <a:cs typeface="+mn-cs"/>
              <a:hlinkClick xmlns:r="http://schemas.openxmlformats.org/officeDocument/2006/relationships" r:id=""/>
            </a:rPr>
            <a:t>operating margin</a:t>
          </a:r>
          <a:r>
            <a:rPr lang="en-US" sz="1100" b="0" i="0">
              <a:solidFill>
                <a:schemeClr val="dk1"/>
              </a:solidFill>
              <a:effectLst/>
              <a:latin typeface="+mn-lt"/>
              <a:ea typeface="+mn-ea"/>
              <a:cs typeface="+mn-cs"/>
            </a:rPr>
            <a:t>. Then it pays interest on debt and adds or subtracts any unusual charges or inflows unrelated to the company’s main business with </a:t>
          </a:r>
          <a:r>
            <a:rPr lang="en-US" sz="1100" b="0" i="0" u="none" strike="noStrike">
              <a:solidFill>
                <a:schemeClr val="dk1"/>
              </a:solidFill>
              <a:effectLst/>
              <a:latin typeface="+mn-lt"/>
              <a:ea typeface="+mn-ea"/>
              <a:cs typeface="+mn-cs"/>
              <a:hlinkClick xmlns:r="http://schemas.openxmlformats.org/officeDocument/2006/relationships" r:id=""/>
            </a:rPr>
            <a:t>pre-tax margin</a:t>
          </a:r>
          <a:r>
            <a:rPr lang="en-US" sz="1100" b="0" i="0">
              <a:solidFill>
                <a:schemeClr val="dk1"/>
              </a:solidFill>
              <a:effectLst/>
              <a:latin typeface="+mn-lt"/>
              <a:ea typeface="+mn-ea"/>
              <a:cs typeface="+mn-cs"/>
            </a:rPr>
            <a:t> left over. Then it pays taxes, leaving net margin, also known as net income, which is the very bottom line.</a:t>
          </a:r>
          <a:br>
            <a:rPr lang="en-US" sz="1100" b="0" i="0">
              <a:solidFill>
                <a:schemeClr val="dk1"/>
              </a:solidFill>
              <a:effectLst/>
              <a:latin typeface="+mn-lt"/>
              <a:ea typeface="+mn-ea"/>
              <a:cs typeface="+mn-cs"/>
            </a:rPr>
          </a:b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Read more: </a:t>
          </a:r>
          <a:r>
            <a:rPr lang="en-US" sz="1100" b="0" i="0" u="none" strike="noStrike">
              <a:solidFill>
                <a:schemeClr val="dk1"/>
              </a:solidFill>
              <a:effectLst/>
              <a:latin typeface="+mn-lt"/>
              <a:ea typeface="+mn-ea"/>
              <a:cs typeface="+mn-cs"/>
              <a:hlinkClick xmlns:r="http://schemas.openxmlformats.org/officeDocument/2006/relationships" r:id=""/>
            </a:rPr>
            <a:t>Profitability Indicator Ratios: Profit Margin Analysis</a:t>
          </a:r>
          <a:r>
            <a:rPr lang="en-US" sz="1100" b="0" i="0">
              <a:solidFill>
                <a:schemeClr val="dk1"/>
              </a:solidFill>
              <a:effectLst/>
              <a:latin typeface="+mn-lt"/>
              <a:ea typeface="+mn-ea"/>
              <a:cs typeface="+mn-cs"/>
            </a:rPr>
            <a:t> </a:t>
          </a:r>
          <a:r>
            <a:rPr lang="en-US" sz="1100" b="0" i="0" u="none" strike="noStrike">
              <a:solidFill>
                <a:schemeClr val="dk1"/>
              </a:solidFill>
              <a:effectLst/>
              <a:latin typeface="+mn-lt"/>
              <a:ea typeface="+mn-ea"/>
              <a:cs typeface="+mn-cs"/>
              <a:hlinkClick xmlns:r="http://schemas.openxmlformats.org/officeDocument/2006/relationships" r:id=""/>
            </a:rPr>
            <a:t>https://www.investopedia.com/university/ratios/profitability-indicator/ratio1.asp#ixzz5AJsLmYv1</a:t>
          </a:r>
          <a:r>
            <a:rPr lang="en-US" sz="1100" b="0" i="0">
              <a:solidFill>
                <a:schemeClr val="dk1"/>
              </a:solidFill>
              <a:effectLst/>
              <a:latin typeface="+mn-lt"/>
              <a:ea typeface="+mn-ea"/>
              <a:cs typeface="+mn-cs"/>
            </a:rPr>
            <a:t> </a:t>
          </a:r>
          <a:br>
            <a:rPr lang="en-US" sz="1100" b="0" i="0">
              <a:solidFill>
                <a:schemeClr val="dk1"/>
              </a:solidFill>
              <a:effectLst/>
              <a:latin typeface="+mn-lt"/>
              <a:ea typeface="+mn-ea"/>
              <a:cs typeface="+mn-cs"/>
            </a:rPr>
          </a:br>
          <a:r>
            <a:rPr lang="en-US" sz="1100" b="0" i="0">
              <a:solidFill>
                <a:schemeClr val="dk1"/>
              </a:solidFill>
              <a:effectLst/>
              <a:latin typeface="+mn-lt"/>
              <a:ea typeface="+mn-ea"/>
              <a:cs typeface="+mn-cs"/>
            </a:rPr>
            <a:t>Follow us: </a:t>
          </a:r>
          <a:r>
            <a:rPr lang="en-US" sz="1100" b="0" i="0" u="none" strike="noStrike">
              <a:solidFill>
                <a:schemeClr val="dk1"/>
              </a:solidFill>
              <a:effectLst/>
              <a:latin typeface="+mn-lt"/>
              <a:ea typeface="+mn-ea"/>
              <a:cs typeface="+mn-cs"/>
              <a:hlinkClick xmlns:r="http://schemas.openxmlformats.org/officeDocument/2006/relationships" r:id=""/>
            </a:rPr>
            <a:t>Investopedia on Facebook</a:t>
          </a:r>
          <a:endParaRPr lang="en-US" sz="1100"/>
        </a:p>
      </xdr:txBody>
    </xdr:sp>
    <xdr:clientData/>
  </xdr:twoCellAnchor>
  <xdr:twoCellAnchor>
    <xdr:from>
      <xdr:col>12</xdr:col>
      <xdr:colOff>269874</xdr:colOff>
      <xdr:row>2</xdr:row>
      <xdr:rowOff>150812</xdr:rowOff>
    </xdr:from>
    <xdr:to>
      <xdr:col>20</xdr:col>
      <xdr:colOff>150811</xdr:colOff>
      <xdr:row>14</xdr:row>
      <xdr:rowOff>31749</xdr:rowOff>
    </xdr:to>
    <xdr:sp macro="" textlink="">
      <xdr:nvSpPr>
        <xdr:cNvPr id="3" name="TextBox 2">
          <a:extLst>
            <a:ext uri="{FF2B5EF4-FFF2-40B4-BE49-F238E27FC236}">
              <a16:creationId xmlns:a16="http://schemas.microsoft.com/office/drawing/2014/main" id="{12C7F922-A4A9-4A85-B050-24B7427108C4}"/>
            </a:ext>
          </a:extLst>
        </xdr:cNvPr>
        <xdr:cNvSpPr txBox="1"/>
      </xdr:nvSpPr>
      <xdr:spPr>
        <a:xfrm>
          <a:off x="10279062" y="515937"/>
          <a:ext cx="4770437" cy="2071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http://financials.morningstar.com/ratios/r.html?t=CMI</a:t>
          </a:r>
        </a:p>
        <a:p>
          <a:endParaRPr lang="en-US" sz="1100"/>
        </a:p>
        <a:p>
          <a:endParaRPr lang="en-US" sz="1100"/>
        </a:p>
        <a:p>
          <a:r>
            <a:rPr lang="en-US" sz="1100"/>
            <a:t>http://quotes.wsj.com/CMI/financials/annual/cash-flow</a:t>
          </a:r>
        </a:p>
        <a:p>
          <a:r>
            <a:rPr lang="en-US" sz="1100"/>
            <a:t>https://ycharts.com/companies/CMI/free_cash_flow</a:t>
          </a:r>
        </a:p>
        <a:p>
          <a:r>
            <a:rPr lang="en-US" sz="1100"/>
            <a:t>https://www.nasdaq.com/symbol/cmi/financials?query=cash-flow</a:t>
          </a:r>
        </a:p>
        <a:p>
          <a:r>
            <a:rPr lang="en-US" sz="1100"/>
            <a:t>https://www.marketwatch.com/investing/stock/cmi/financials/cash-flow</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406400</xdr:colOff>
      <xdr:row>41</xdr:row>
      <xdr:rowOff>107950</xdr:rowOff>
    </xdr:from>
    <xdr:to>
      <xdr:col>22</xdr:col>
      <xdr:colOff>520700</xdr:colOff>
      <xdr:row>47</xdr:row>
      <xdr:rowOff>69850</xdr:rowOff>
    </xdr:to>
    <xdr:sp macro="" textlink="">
      <xdr:nvSpPr>
        <xdr:cNvPr id="2" name="TextBox 1">
          <a:extLst>
            <a:ext uri="{FF2B5EF4-FFF2-40B4-BE49-F238E27FC236}">
              <a16:creationId xmlns:a16="http://schemas.microsoft.com/office/drawing/2014/main" id="{138847BB-A156-452E-AFE4-46F4FBAB98BE}"/>
            </a:ext>
          </a:extLst>
        </xdr:cNvPr>
        <xdr:cNvSpPr txBox="1"/>
      </xdr:nvSpPr>
      <xdr:spPr>
        <a:xfrm>
          <a:off x="6953250" y="7842250"/>
          <a:ext cx="8648700" cy="1066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(1) For the year ended December 31, 2016, income before income taxes included a $138 million charge related to a loss contingency. For the year ended December 31, 2015, income before income taxes included a $211 million charge related to impairment of light-duty diesel assets, $90 million of restructuring actions and other charges and a $60 million charge related to a loss contingency. (2) The interest amount in the table above does not include interest expense associated with uncertain tax positions. In 2015, we adopted new rules related to balance sheet debt issuance costs, which resulted in the reclassification of our December 31, 2014, debt balance, reducing our long-term debt by $12 million. In September 2013, we issued $1 billion of senior unsecured debt. (3) Amounts represent those portions of rent expense that are reasonable approximations of interest costs. (4) We have not issued preferred stock. Therefore, the ratios of earnings to combined fixed charges and preferred stock dividends are the same as the ratios presented above</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8.bin"/><Relationship Id="rId1" Type="http://schemas.openxmlformats.org/officeDocument/2006/relationships/hyperlink" Target="https://www.statista.com/statistics/244983/projected-inflation-rate-in-the-united-states/"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hyperlink" Target="https://www.nasdaq.com/symbol/cmi/stock-report" TargetMode="External"/></Relationships>
</file>

<file path=xl/worksheets/_rels/sheet2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4.bin"/><Relationship Id="rId4" Type="http://schemas.openxmlformats.org/officeDocument/2006/relationships/comments" Target="../comments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0B698-8C6D-4D7C-B68D-E57B77F4BCC1}">
  <sheetPr codeName="Sheet6">
    <tabColor theme="1"/>
  </sheetPr>
  <dimension ref="B3:T38"/>
  <sheetViews>
    <sheetView workbookViewId="0">
      <selection activeCell="C12" sqref="C12"/>
    </sheetView>
  </sheetViews>
  <sheetFormatPr defaultColWidth="8.7109375" defaultRowHeight="15" x14ac:dyDescent="0.25"/>
  <cols>
    <col min="1" max="1" width="8.7109375" style="22"/>
    <col min="2" max="2" width="20.85546875" style="22" bestFit="1" customWidth="1"/>
    <col min="3" max="3" width="100.42578125" style="22" bestFit="1" customWidth="1"/>
    <col min="4" max="18" width="8.7109375" style="22"/>
    <col min="19" max="19" width="20.85546875" style="22" bestFit="1" customWidth="1"/>
    <col min="20" max="20" width="100.42578125" style="22" bestFit="1" customWidth="1"/>
    <col min="21" max="16384" width="8.7109375" style="22"/>
  </cols>
  <sheetData>
    <row r="3" spans="2:20" x14ac:dyDescent="0.25">
      <c r="B3" s="309" t="s">
        <v>1192</v>
      </c>
      <c r="C3" s="309" t="s">
        <v>0</v>
      </c>
      <c r="S3" s="309" t="s">
        <v>1192</v>
      </c>
      <c r="T3" s="309" t="s">
        <v>0</v>
      </c>
    </row>
    <row r="4" spans="2:20" x14ac:dyDescent="0.25">
      <c r="B4" s="307" t="s">
        <v>1163</v>
      </c>
      <c r="C4" s="304" t="s">
        <v>1220</v>
      </c>
      <c r="S4" s="307" t="s">
        <v>1163</v>
      </c>
      <c r="T4" s="304" t="s">
        <v>1220</v>
      </c>
    </row>
    <row r="5" spans="2:20" x14ac:dyDescent="0.25">
      <c r="B5" s="312" t="s">
        <v>1164</v>
      </c>
      <c r="C5" s="304" t="s">
        <v>1214</v>
      </c>
      <c r="S5" s="312" t="s">
        <v>1164</v>
      </c>
      <c r="T5" s="304" t="s">
        <v>1214</v>
      </c>
    </row>
    <row r="6" spans="2:20" x14ac:dyDescent="0.25">
      <c r="B6" s="308" t="s">
        <v>1165</v>
      </c>
      <c r="C6" s="304" t="s">
        <v>1213</v>
      </c>
      <c r="S6" s="308" t="s">
        <v>1165</v>
      </c>
      <c r="T6" s="304" t="s">
        <v>1213</v>
      </c>
    </row>
    <row r="7" spans="2:20" x14ac:dyDescent="0.25">
      <c r="B7" s="308" t="s">
        <v>1166</v>
      </c>
      <c r="C7" s="304" t="s">
        <v>1215</v>
      </c>
      <c r="S7" s="308" t="s">
        <v>1166</v>
      </c>
      <c r="T7" s="304" t="s">
        <v>1215</v>
      </c>
    </row>
    <row r="8" spans="2:20" x14ac:dyDescent="0.25">
      <c r="B8" s="308" t="s">
        <v>1167</v>
      </c>
      <c r="C8" s="304" t="s">
        <v>1216</v>
      </c>
      <c r="S8" s="308" t="s">
        <v>1167</v>
      </c>
      <c r="T8" s="304" t="s">
        <v>1216</v>
      </c>
    </row>
    <row r="9" spans="2:20" x14ac:dyDescent="0.25">
      <c r="B9" s="313" t="s">
        <v>1168</v>
      </c>
      <c r="C9" s="304" t="s">
        <v>1223</v>
      </c>
      <c r="S9" s="313" t="s">
        <v>1168</v>
      </c>
      <c r="T9" s="304" t="s">
        <v>1209</v>
      </c>
    </row>
    <row r="10" spans="2:20" x14ac:dyDescent="0.25">
      <c r="B10" s="313" t="s">
        <v>1169</v>
      </c>
      <c r="C10" s="304" t="s">
        <v>1210</v>
      </c>
      <c r="S10" s="313" t="s">
        <v>1169</v>
      </c>
      <c r="T10" s="304" t="s">
        <v>1210</v>
      </c>
    </row>
    <row r="11" spans="2:20" x14ac:dyDescent="0.25">
      <c r="B11" s="313" t="s">
        <v>1170</v>
      </c>
      <c r="C11" s="304" t="s">
        <v>1211</v>
      </c>
      <c r="S11" s="313" t="s">
        <v>1170</v>
      </c>
      <c r="T11" s="304" t="s">
        <v>1211</v>
      </c>
    </row>
    <row r="12" spans="2:20" x14ac:dyDescent="0.25">
      <c r="B12" s="313" t="s">
        <v>1171</v>
      </c>
      <c r="C12" s="304" t="s">
        <v>1212</v>
      </c>
      <c r="S12" s="313" t="s">
        <v>1171</v>
      </c>
      <c r="T12" s="304" t="s">
        <v>1212</v>
      </c>
    </row>
    <row r="13" spans="2:20" x14ac:dyDescent="0.25">
      <c r="B13" s="310" t="s">
        <v>1172</v>
      </c>
      <c r="C13" s="304" t="s">
        <v>1193</v>
      </c>
      <c r="S13" s="310" t="s">
        <v>1172</v>
      </c>
      <c r="T13" s="304" t="s">
        <v>1193</v>
      </c>
    </row>
    <row r="14" spans="2:20" x14ac:dyDescent="0.25">
      <c r="B14" s="310" t="s">
        <v>1173</v>
      </c>
      <c r="C14" s="304" t="s">
        <v>1194</v>
      </c>
      <c r="S14" s="310" t="s">
        <v>1173</v>
      </c>
      <c r="T14" s="304" t="s">
        <v>1194</v>
      </c>
    </row>
    <row r="15" spans="2:20" x14ac:dyDescent="0.25">
      <c r="B15" s="310" t="s">
        <v>1159</v>
      </c>
      <c r="C15" s="304" t="s">
        <v>1282</v>
      </c>
      <c r="S15" s="310" t="s">
        <v>1159</v>
      </c>
      <c r="T15" s="304" t="s">
        <v>1282</v>
      </c>
    </row>
    <row r="16" spans="2:20" x14ac:dyDescent="0.25">
      <c r="B16" s="310" t="s">
        <v>1188</v>
      </c>
      <c r="C16" s="304" t="s">
        <v>1337</v>
      </c>
      <c r="S16" s="310" t="s">
        <v>1188</v>
      </c>
      <c r="T16" s="304" t="s">
        <v>1196</v>
      </c>
    </row>
    <row r="17" spans="2:20" x14ac:dyDescent="0.25">
      <c r="B17" s="310" t="s">
        <v>1174</v>
      </c>
      <c r="C17" s="304" t="s">
        <v>1208</v>
      </c>
      <c r="S17" s="310" t="s">
        <v>1174</v>
      </c>
      <c r="T17" s="304" t="s">
        <v>1208</v>
      </c>
    </row>
    <row r="18" spans="2:20" x14ac:dyDescent="0.25">
      <c r="B18" s="310" t="s">
        <v>1175</v>
      </c>
      <c r="C18" s="304" t="s">
        <v>1207</v>
      </c>
      <c r="S18" s="310" t="s">
        <v>1175</v>
      </c>
      <c r="T18" s="304" t="s">
        <v>1207</v>
      </c>
    </row>
    <row r="19" spans="2:20" x14ac:dyDescent="0.25">
      <c r="B19" s="310" t="s">
        <v>1176</v>
      </c>
      <c r="C19" s="304" t="s">
        <v>1195</v>
      </c>
      <c r="S19" s="310" t="s">
        <v>1176</v>
      </c>
      <c r="T19" s="304" t="s">
        <v>1195</v>
      </c>
    </row>
    <row r="20" spans="2:20" x14ac:dyDescent="0.25">
      <c r="B20" s="310" t="s">
        <v>1177</v>
      </c>
      <c r="C20" s="304" t="s">
        <v>1206</v>
      </c>
      <c r="S20" s="310" t="s">
        <v>1177</v>
      </c>
      <c r="T20" s="304" t="s">
        <v>1206</v>
      </c>
    </row>
    <row r="21" spans="2:20" x14ac:dyDescent="0.25">
      <c r="B21" s="310" t="s">
        <v>1178</v>
      </c>
      <c r="C21" s="304" t="s">
        <v>1205</v>
      </c>
      <c r="S21" s="310" t="s">
        <v>1178</v>
      </c>
      <c r="T21" s="304" t="s">
        <v>1205</v>
      </c>
    </row>
    <row r="22" spans="2:20" x14ac:dyDescent="0.25">
      <c r="B22" s="310" t="s">
        <v>1179</v>
      </c>
      <c r="C22" s="304" t="s">
        <v>1204</v>
      </c>
      <c r="S22" s="310" t="s">
        <v>1179</v>
      </c>
      <c r="T22" s="304" t="s">
        <v>1204</v>
      </c>
    </row>
    <row r="23" spans="2:20" x14ac:dyDescent="0.25">
      <c r="B23" s="310" t="s">
        <v>1180</v>
      </c>
      <c r="C23" s="304" t="s">
        <v>1203</v>
      </c>
      <c r="S23" s="310" t="s">
        <v>1180</v>
      </c>
      <c r="T23" s="304" t="s">
        <v>1203</v>
      </c>
    </row>
    <row r="24" spans="2:20" x14ac:dyDescent="0.25">
      <c r="B24" s="310" t="s">
        <v>1181</v>
      </c>
      <c r="C24" s="304" t="s">
        <v>1202</v>
      </c>
      <c r="S24" s="310" t="s">
        <v>1181</v>
      </c>
      <c r="T24" s="304" t="s">
        <v>1202</v>
      </c>
    </row>
    <row r="25" spans="2:20" x14ac:dyDescent="0.25">
      <c r="B25" s="310" t="s">
        <v>1182</v>
      </c>
      <c r="C25" s="304" t="s">
        <v>1201</v>
      </c>
      <c r="S25" s="310" t="s">
        <v>1182</v>
      </c>
      <c r="T25" s="304" t="s">
        <v>1201</v>
      </c>
    </row>
    <row r="26" spans="2:20" x14ac:dyDescent="0.25">
      <c r="B26" s="310" t="s">
        <v>1183</v>
      </c>
      <c r="C26" s="304" t="s">
        <v>1200</v>
      </c>
      <c r="S26" s="310" t="s">
        <v>1183</v>
      </c>
      <c r="T26" s="304" t="s">
        <v>1200</v>
      </c>
    </row>
    <row r="27" spans="2:20" x14ac:dyDescent="0.25">
      <c r="B27" s="310" t="s">
        <v>1184</v>
      </c>
      <c r="C27" s="304" t="s">
        <v>1199</v>
      </c>
      <c r="S27" s="310" t="s">
        <v>1184</v>
      </c>
      <c r="T27" s="304" t="s">
        <v>1199</v>
      </c>
    </row>
    <row r="28" spans="2:20" x14ac:dyDescent="0.25">
      <c r="B28" s="310" t="s">
        <v>1185</v>
      </c>
      <c r="C28" s="304" t="s">
        <v>1198</v>
      </c>
      <c r="S28" s="310" t="s">
        <v>1185</v>
      </c>
      <c r="T28" s="304" t="s">
        <v>1198</v>
      </c>
    </row>
    <row r="29" spans="2:20" x14ac:dyDescent="0.25">
      <c r="B29" s="310" t="s">
        <v>1186</v>
      </c>
      <c r="C29" s="304" t="s">
        <v>1197</v>
      </c>
      <c r="S29" s="310" t="s">
        <v>1186</v>
      </c>
      <c r="T29" s="304" t="s">
        <v>1197</v>
      </c>
    </row>
    <row r="30" spans="2:20" x14ac:dyDescent="0.25">
      <c r="B30" s="310" t="s">
        <v>1187</v>
      </c>
      <c r="C30" s="304"/>
      <c r="S30" s="310" t="s">
        <v>1187</v>
      </c>
      <c r="T30" s="304"/>
    </row>
    <row r="31" spans="2:20" x14ac:dyDescent="0.25">
      <c r="B31" s="314" t="s">
        <v>1189</v>
      </c>
      <c r="C31" s="304"/>
      <c r="S31" s="314" t="s">
        <v>1189</v>
      </c>
      <c r="T31" s="304"/>
    </row>
    <row r="32" spans="2:20" x14ac:dyDescent="0.25">
      <c r="B32" s="311" t="s">
        <v>1190</v>
      </c>
      <c r="C32" s="304" t="s">
        <v>1217</v>
      </c>
      <c r="S32" s="311" t="s">
        <v>1190</v>
      </c>
      <c r="T32" s="304" t="s">
        <v>1217</v>
      </c>
    </row>
    <row r="33" spans="2:20" x14ac:dyDescent="0.25">
      <c r="B33" s="311" t="s">
        <v>76</v>
      </c>
      <c r="C33" s="304" t="s">
        <v>1218</v>
      </c>
      <c r="S33" s="311" t="s">
        <v>76</v>
      </c>
      <c r="T33" s="304" t="s">
        <v>1218</v>
      </c>
    </row>
    <row r="34" spans="2:20" x14ac:dyDescent="0.25">
      <c r="B34" s="311" t="s">
        <v>1191</v>
      </c>
      <c r="C34" s="304" t="s">
        <v>1219</v>
      </c>
      <c r="S34" s="311" t="s">
        <v>1191</v>
      </c>
      <c r="T34" s="304" t="s">
        <v>1219</v>
      </c>
    </row>
    <row r="38" spans="2:20" x14ac:dyDescent="0.25">
      <c r="C38" s="22" t="s">
        <v>1221</v>
      </c>
    </row>
  </sheetData>
  <hyperlinks>
    <hyperlink ref="B4" location="'Table of Contents'!A1" display="Table of Contents" xr:uid="{03F21BD8-DAF9-4443-AA2A-D2D3D6968332}"/>
    <hyperlink ref="B5" location="'Reporting Data'!A1" display="Reporting Data" xr:uid="{3176D974-8685-4DC7-9519-0736170A2239}"/>
    <hyperlink ref="B6" location="'GR&amp;A'!A1" display="GR&amp;A" xr:uid="{D58A5A7B-2B8C-4274-81B7-8798440F917A}"/>
    <hyperlink ref="B7" location="'Predictions'!A1" display="Predictions" xr:uid="{B5AC002B-6092-459D-9E50-C137BBB45352}"/>
    <hyperlink ref="B8" location="'Valuation'!A1" display="Valuation" xr:uid="{1AC0E25F-7B53-4B25-9776-3FD957EEFDB6}"/>
    <hyperlink ref="B9" location="'Income Statement (Y)'!A1" display="Income Statement (Y)" xr:uid="{6C368D8B-972E-4C1E-8425-E30A51E5665C}"/>
    <hyperlink ref="B10" location="'Balance Sheet (Y)'!A1" display="Balance Sheet (Y)" xr:uid="{748D2DC9-BFFC-4BDA-830F-166B49D733CE}"/>
    <hyperlink ref="B11" location="'Cash Flow (Y)'!A1" display="Cash Flow (Y)" xr:uid="{75B065FE-9EBA-4BD0-AFC7-7A22120BAEC8}"/>
    <hyperlink ref="B12" location="'Equity (Y)'!A1" display="Equity (Y)" xr:uid="{1D541751-4178-4AB3-8D63-75F159E01009}"/>
    <hyperlink ref="B13" location="'Segment Earnings'!A1" display="Segment Earnings" xr:uid="{43D35D94-EA22-477D-9E9C-9A92A156701C}"/>
    <hyperlink ref="B14" location="'Unit Sales'!A1" display="Unit Sales" xr:uid="{7C5F0DE4-3A48-493E-AC06-5F23C12E49FA}"/>
    <hyperlink ref="B17" location="'N2 Income Tax'!A1" display="N2 Income Tax" xr:uid="{CAF78A61-0C6B-446B-9C8C-C7CAA960A6B6}"/>
    <hyperlink ref="B18" location="'N3 Equity Investments'!A1" display="N3 Equity Investments" xr:uid="{EB0DB98C-1B23-442E-AA42-B79C1B6E3734}"/>
    <hyperlink ref="B19" location="'N4 Mkt Securities'!A1" display="N4 Mkt Securities" xr:uid="{ABF7F4D4-7003-4969-B984-956118C618AA}"/>
    <hyperlink ref="B20" location="'N8 Warranties'!A1" display="N8 Warranties" xr:uid="{B01BF1DC-EE30-49D6-938A-AF3E935D295D}"/>
    <hyperlink ref="B21" location="'N7 Goodwill'!A1" display="N7 Goodwill" xr:uid="{9706360D-94E4-4A14-B8FB-5FABFFC82FA8}"/>
    <hyperlink ref="B22" location="'N9 Debt'!A1" display="N9 Debt" xr:uid="{B8E00A18-AB70-4545-9604-53073B1D60D7}"/>
    <hyperlink ref="B23" location="'N10 Pension'!A1" display="N10 Pension" xr:uid="{ACD07F90-29AE-4920-80B3-173AB32B49CE}"/>
    <hyperlink ref="B24" location="'N1 O. Liab. and def Rev'!A1" display="N1 O. Liab. and def Rev" xr:uid="{9D4609EF-F129-4108-883C-ACD7E8108350}"/>
    <hyperlink ref="B25" location="'N13 Sh Eq'!A1" display="N13 Sh Eq" xr:uid="{978756CE-BFED-455A-B730-DFAFEBA960C9}"/>
    <hyperlink ref="B26" location="'N14 OCI'!A1" display="N14 OCI" xr:uid="{577EA8C6-DA64-46F8-A7F7-6251560E83D9}"/>
    <hyperlink ref="B27" location="'N15 Stock'!A1" display="N15 Stock" xr:uid="{4440CFC0-A5B6-4806-9A47-5927C7CB784A}"/>
    <hyperlink ref="B28" location="'N17 EPS'!A1" display="N17 EPS" xr:uid="{43E1A7B7-7E74-4ACA-9762-572862404292}"/>
    <hyperlink ref="B29" location="'N21 Op Segs'!A1" display="N21 Op Segs" xr:uid="{0C4951CD-9D60-4A68-98C1-AA5DBDBDA14D}"/>
    <hyperlink ref="B30" location="'N18 Acquisitions'!A1" display="N18 Acquisitions" xr:uid="{0346114F-C058-49E5-B47F-F7EB35E8CCE6}"/>
    <hyperlink ref="B31" location="'Additional Commentary'!A1" display="Additional Commentary" xr:uid="{298EF8E7-7D3E-4E6B-ACA1-357ED8450D77}"/>
    <hyperlink ref="B32" location="'Analyst Coverage'!A1" display="Analyst Coverage" xr:uid="{B911366C-2EB9-480E-843E-79FE50559322}"/>
    <hyperlink ref="B33" location="'Ratios'!A1" display="Ratios" xr:uid="{492902D7-324A-469C-BFF8-C71EE15EAB08}"/>
    <hyperlink ref="B34" location="'10k Key Ratios'!A1" display="10k Key Ratios" xr:uid="{E5FC4400-08A5-44CA-BE10-8C127BAC4744}"/>
    <hyperlink ref="S4" location="'Table of Contents'!A1" display="Table of Contents" xr:uid="{5363AD6F-CB23-4D35-9288-502DDCDDFD79}"/>
    <hyperlink ref="S5" location="'Reporting Data'!A1" display="Reporting Data" xr:uid="{5ACFC1F2-88DB-4166-8688-4E23553CF96E}"/>
    <hyperlink ref="S6" location="'GR&amp;A'!A1" display="GR&amp;A" xr:uid="{DF9025A4-D12B-4ADF-906D-928654EE515E}"/>
    <hyperlink ref="S7" location="'Predictions'!A1" display="Predictions" xr:uid="{E602AFAD-4668-46F4-B608-15679FC17252}"/>
    <hyperlink ref="S8" location="'Valuation'!A1" display="Valuation" xr:uid="{B299A44C-2CCE-42FA-A481-419EB91C81B8}"/>
    <hyperlink ref="S9" location="'Income Statement (Y)'!A1" display="Income Statement (Y)" xr:uid="{5D3437AF-636C-4DC0-8685-390A526F37EF}"/>
    <hyperlink ref="S10" location="'Balance Sheet (Y)'!A1" display="Balance Sheet (Y)" xr:uid="{1F44AD65-684D-4DAB-9AF1-AFBE17CBBD18}"/>
    <hyperlink ref="S11" location="'Cash Flow (Y)'!A1" display="Cash Flow (Y)" xr:uid="{432E4E1D-56AA-4619-85C5-F9E75DB7D369}"/>
    <hyperlink ref="S12" location="'Equity (Y)'!A1" display="Equity (Y)" xr:uid="{7B54FF98-06AE-401A-9CD7-BA41E16FADC1}"/>
    <hyperlink ref="S13" location="'Segment Earnings'!A1" display="Segment Earnings" xr:uid="{6584968A-8C24-4C00-AE98-BBA05B797908}"/>
    <hyperlink ref="S14" location="'Unit Sales'!A1" display="Unit Sales" xr:uid="{A81B7331-F5FC-4E07-9728-2B32E8291404}"/>
    <hyperlink ref="S17" location="'N2 Income Tax'!A1" display="N2 Income Tax" xr:uid="{9C4CC164-14F3-4EC8-8756-46C82B6C5DBD}"/>
    <hyperlink ref="S18" location="'N3 Equity Investments'!A1" display="N3 Equity Investments" xr:uid="{A2F1CF23-0DB4-4D6A-9AD3-623EB7CA5798}"/>
    <hyperlink ref="S19" location="'N4 Mkt Securities'!A1" display="N4 Mkt Securities" xr:uid="{1E457328-4C71-45D9-89B7-8D767DD0DBD2}"/>
    <hyperlink ref="S20" location="'N8 Warranties'!A1" display="N8 Warranties" xr:uid="{CA3E0239-82A8-4E01-A6C4-C79F221676D1}"/>
    <hyperlink ref="S21" location="'N7 Goodwill'!A1" display="N7 Goodwill" xr:uid="{6DE5FB44-1686-4CE9-9A0A-81E0EFE0A8C6}"/>
    <hyperlink ref="S22" location="'N9 Debt'!A1" display="N9 Debt" xr:uid="{1801C815-B9E7-4904-AD98-81E137E261D8}"/>
    <hyperlink ref="S23" location="'N10 Pension'!A1" display="N10 Pension" xr:uid="{D349037C-A506-47F6-A460-FE676420CF4B}"/>
    <hyperlink ref="S24" location="'N1 O. Liab. and def Rev'!A1" display="N1 O. Liab. and def Rev" xr:uid="{A4108BB7-3E4F-4E19-A388-3BC360F846DB}"/>
    <hyperlink ref="S25" location="'N13 Sh Eq'!A1" display="N13 Sh Eq" xr:uid="{94B3613E-20AE-431E-92D9-2325636396A9}"/>
    <hyperlink ref="S26" location="'N14 OCI'!A1" display="N14 OCI" xr:uid="{B6E1521F-35B5-4505-83D5-A1A1AC4A11A5}"/>
    <hyperlink ref="S27" location="'N15 Stock'!A1" display="N15 Stock" xr:uid="{ECC1B023-6414-47A9-91A2-F831252FF58F}"/>
    <hyperlink ref="S28" location="'N17 EPS'!A1" display="N17 EPS" xr:uid="{F74C90D6-9C54-4FFB-9CBE-05A0F9CD7811}"/>
    <hyperlink ref="S29" location="'N21 Op Segs'!A1" display="N21 Op Segs" xr:uid="{0E023811-540F-432B-9F48-9466E56D5D0B}"/>
    <hyperlink ref="S30" location="'N18 Acquisitions'!A1" display="N18 Acquisitions" xr:uid="{342EBDC1-7EF8-463E-8721-63B092EA6DB7}"/>
    <hyperlink ref="S31" location="'Additional Commentary'!A1" display="Additional Commentary" xr:uid="{790CCF60-A0F1-4CF1-849D-9310DF1AC9D9}"/>
    <hyperlink ref="S32" location="'Analyst Coverage'!A1" display="Analyst Coverage" xr:uid="{DB9A934F-BAD2-43DE-AA0C-B82D3B75CA17}"/>
    <hyperlink ref="S33" location="'Ratios'!A1" display="Ratios" xr:uid="{2A4F2297-46CA-421C-BF07-EC56EB9C8DA2}"/>
    <hyperlink ref="S34" location="'10k Key Ratios'!A1" display="10k Key Ratios" xr:uid="{256E7D00-3FE3-4759-B49C-BE640E4EBA76}"/>
    <hyperlink ref="B15" location="Financing!A1" display="Financing" xr:uid="{176F0546-F524-483C-A1EC-D7FCA4A754B5}"/>
    <hyperlink ref="S15" location="Financing!A1" display="Financing" xr:uid="{2355974D-E67A-4614-823C-D175F05602C1}"/>
    <hyperlink ref="B16" location="'Misc data'!A1" display="Misc data" xr:uid="{CB7D2058-4767-4694-8EBA-6F32B47B9CBB}"/>
    <hyperlink ref="S16" location="'Misc data'!A1" display="Misc data" xr:uid="{7D2EF53D-8EAD-4F05-9BFF-C56EB1AA155D}"/>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DC79B-4F6C-42ED-AB8A-FD3F6867425A}">
  <sheetPr codeName="Sheet13">
    <tabColor theme="9" tint="-0.499984740745262"/>
  </sheetPr>
  <dimension ref="B2:W77"/>
  <sheetViews>
    <sheetView workbookViewId="0">
      <selection activeCell="A2" sqref="A2"/>
    </sheetView>
  </sheetViews>
  <sheetFormatPr defaultRowHeight="15" x14ac:dyDescent="0.25"/>
  <cols>
    <col min="2" max="2" width="18.85546875" customWidth="1"/>
    <col min="3" max="3" width="12" bestFit="1" customWidth="1"/>
    <col min="4" max="4" width="8.7109375" customWidth="1"/>
    <col min="5" max="5" width="10.140625" customWidth="1"/>
    <col min="7" max="7" width="18.140625" bestFit="1" customWidth="1"/>
    <col min="8" max="8" width="22.140625" bestFit="1" customWidth="1"/>
    <col min="9" max="9" width="9.85546875" bestFit="1" customWidth="1"/>
    <col min="10" max="10" width="11.42578125" customWidth="1"/>
    <col min="11" max="11" width="21.140625" bestFit="1" customWidth="1"/>
    <col min="12" max="12" width="21.28515625" bestFit="1" customWidth="1"/>
    <col min="17" max="17" width="25.42578125" bestFit="1" customWidth="1"/>
    <col min="18" max="18" width="0.5703125" customWidth="1"/>
    <col min="19" max="19" width="31.85546875" customWidth="1"/>
    <col min="20" max="20" width="0.5703125" customWidth="1"/>
    <col min="21" max="21" width="31.85546875" customWidth="1"/>
    <col min="22" max="22" width="0.5703125" customWidth="1"/>
    <col min="23" max="23" width="31.85546875" customWidth="1"/>
  </cols>
  <sheetData>
    <row r="2" spans="2:23" x14ac:dyDescent="0.25">
      <c r="Q2" s="22"/>
      <c r="R2" s="369"/>
      <c r="S2" s="34" t="s">
        <v>55</v>
      </c>
      <c r="T2" s="369"/>
      <c r="U2" s="34" t="s">
        <v>57</v>
      </c>
      <c r="V2" s="369"/>
      <c r="W2" s="34" t="s">
        <v>56</v>
      </c>
    </row>
    <row r="3" spans="2:23" ht="59.45" customHeight="1" x14ac:dyDescent="0.25">
      <c r="Q3" s="36" t="s">
        <v>0</v>
      </c>
      <c r="R3" s="369"/>
      <c r="S3" s="30" t="s">
        <v>1378</v>
      </c>
      <c r="T3" s="369"/>
      <c r="U3" s="30" t="s">
        <v>1368</v>
      </c>
      <c r="V3" s="369"/>
      <c r="W3" s="30" t="s">
        <v>1367</v>
      </c>
    </row>
    <row r="4" spans="2:23" x14ac:dyDescent="0.25">
      <c r="B4" t="s">
        <v>16</v>
      </c>
      <c r="C4">
        <f>Valuation!C50</f>
        <v>143.96</v>
      </c>
      <c r="Q4" s="37" t="s">
        <v>1369</v>
      </c>
      <c r="R4" s="369"/>
      <c r="S4" s="39">
        <v>0.04</v>
      </c>
      <c r="T4" s="369"/>
      <c r="U4" s="39">
        <v>0.25</v>
      </c>
      <c r="V4" s="369"/>
      <c r="W4" s="39">
        <v>0.88</v>
      </c>
    </row>
    <row r="5" spans="2:23" x14ac:dyDescent="0.25">
      <c r="B5" t="s">
        <v>17</v>
      </c>
      <c r="C5" s="3">
        <f>D17/C4-1</f>
        <v>-1.4508542342043795E-2</v>
      </c>
      <c r="Q5" s="37" t="s">
        <v>1371</v>
      </c>
      <c r="R5" s="369"/>
      <c r="S5" s="39">
        <f>(1+S4)^(1/5)-1</f>
        <v>7.8749885178921453E-3</v>
      </c>
      <c r="T5" s="369"/>
      <c r="U5" s="39">
        <f>(1+U4)^(1/5)-1</f>
        <v>4.5639552591273169E-2</v>
      </c>
      <c r="V5" s="369"/>
      <c r="W5" s="39">
        <f>(1+W4)^(1/5)-1</f>
        <v>0.13457071573701729</v>
      </c>
    </row>
    <row r="6" spans="2:23" x14ac:dyDescent="0.25">
      <c r="Q6" s="38"/>
      <c r="R6" s="369"/>
      <c r="S6" s="22"/>
      <c r="T6" s="369"/>
      <c r="U6" s="22"/>
      <c r="V6" s="369"/>
      <c r="W6" s="22"/>
    </row>
    <row r="7" spans="2:23" x14ac:dyDescent="0.25">
      <c r="B7" t="s">
        <v>19</v>
      </c>
      <c r="C7" s="108">
        <f>Valuation!C49</f>
        <v>165683334</v>
      </c>
      <c r="Q7" s="477" t="s">
        <v>1370</v>
      </c>
      <c r="R7" s="369"/>
      <c r="S7" s="31" t="str">
        <f>"-18% appreciation by 2022"</f>
        <v>-18% appreciation by 2022</v>
      </c>
      <c r="T7" s="369"/>
      <c r="U7" s="35"/>
      <c r="V7" s="369"/>
      <c r="W7" s="31" t="str">
        <f>"-Largest customers drive orders"</f>
        <v>-Largest customers drive orders</v>
      </c>
    </row>
    <row r="8" spans="2:23" x14ac:dyDescent="0.25">
      <c r="C8" s="11"/>
      <c r="Q8" s="478"/>
      <c r="R8" s="369"/>
      <c r="S8" s="40" t="str">
        <f>"-0% growth from sources"</f>
        <v>-0% growth from sources</v>
      </c>
      <c r="T8" s="369"/>
      <c r="U8" s="41"/>
      <c r="V8" s="369"/>
      <c r="W8" s="32" t="str">
        <f>"-18% depreciation by 2022"</f>
        <v>-18% depreciation by 2022</v>
      </c>
    </row>
    <row r="9" spans="2:23" x14ac:dyDescent="0.25">
      <c r="C9" s="12"/>
      <c r="D9" s="16"/>
      <c r="Q9" s="478"/>
      <c r="R9" s="369"/>
      <c r="S9" s="32" t="str">
        <f>" other than largest customers"</f>
        <v xml:space="preserve"> other than largest customers</v>
      </c>
      <c r="T9" s="369"/>
      <c r="U9" s="41"/>
      <c r="V9" s="369"/>
      <c r="W9" s="32" t="str">
        <f>"-Engine segment stable at sales of"</f>
        <v>-Engine segment stable at sales of</v>
      </c>
    </row>
    <row r="10" spans="2:23" x14ac:dyDescent="0.25">
      <c r="C10" s="11"/>
      <c r="D10" s="11"/>
      <c r="Q10" s="479"/>
      <c r="R10" s="369"/>
      <c r="S10" s="33"/>
      <c r="T10" s="369"/>
      <c r="U10" s="42"/>
      <c r="V10" s="369"/>
      <c r="W10" s="33" t="str">
        <f>" $6 M per year"</f>
        <v xml:space="preserve"> $6 M per year</v>
      </c>
    </row>
    <row r="13" spans="2:23" ht="45" x14ac:dyDescent="0.25">
      <c r="B13" s="44" t="s">
        <v>40</v>
      </c>
      <c r="C13" s="45" t="s">
        <v>31</v>
      </c>
      <c r="D13" s="45" t="s">
        <v>1278</v>
      </c>
      <c r="E13" s="45" t="s">
        <v>1279</v>
      </c>
      <c r="F13" s="45" t="s">
        <v>1281</v>
      </c>
    </row>
    <row r="14" spans="2:23" x14ac:dyDescent="0.25">
      <c r="B14" s="19" t="s">
        <v>1242</v>
      </c>
      <c r="C14" s="20">
        <f>Valuation!H69</f>
        <v>7.9986044115681763</v>
      </c>
      <c r="D14" s="51">
        <f>Valuation!G53</f>
        <v>185.04822869096105</v>
      </c>
      <c r="E14" s="51">
        <f>Valuation!C53</f>
        <v>250.90902761961709</v>
      </c>
      <c r="F14" s="334">
        <f>(E14-Valuation!$C$50)*Valuation!$C$9/Valuation!$C$50</f>
        <v>0.51683241610803032</v>
      </c>
      <c r="W14" s="11"/>
    </row>
    <row r="15" spans="2:23" x14ac:dyDescent="0.25">
      <c r="B15" s="19" t="s">
        <v>28</v>
      </c>
      <c r="C15" s="20">
        <f>Valuation!C15</f>
        <v>17.29</v>
      </c>
      <c r="D15" s="51">
        <f>Valuation!G18</f>
        <v>229.08952080757783</v>
      </c>
      <c r="E15" s="51">
        <f>Valuation!C18</f>
        <v>198.50156170580155</v>
      </c>
      <c r="F15" s="334">
        <f>(E15-Valuation!$C$50)*Valuation!$C$9/Valuation!$C$50</f>
        <v>0.26357272938444287</v>
      </c>
    </row>
    <row r="16" spans="2:23" x14ac:dyDescent="0.25">
      <c r="B16" s="19" t="s">
        <v>1271</v>
      </c>
      <c r="C16" s="20">
        <f>Valuation!N31</f>
        <v>15.536214493579845</v>
      </c>
      <c r="D16" s="51">
        <f>Valuation!G32</f>
        <v>205.85216503747557</v>
      </c>
      <c r="E16" s="51">
        <f>Valuation!C32</f>
        <v>178.36685020080441</v>
      </c>
      <c r="F16" s="334">
        <f>(E16-Valuation!$C$50)*Valuation!$C$9/Valuation!$C$50</f>
        <v>0.16627150256284373</v>
      </c>
    </row>
    <row r="17" spans="2:15" x14ac:dyDescent="0.25">
      <c r="B17" s="332" t="s">
        <v>1277</v>
      </c>
      <c r="C17" s="333">
        <f>Valuation!C90</f>
        <v>3.2131335996449173</v>
      </c>
      <c r="D17" s="52">
        <f>Valuation!G91</f>
        <v>141.87135024443938</v>
      </c>
      <c r="E17" s="52">
        <f>Valuation!C91</f>
        <v>196.31115900214166</v>
      </c>
      <c r="F17" s="335">
        <f>(E17-Valuation!$C$50)*Valuation!$C$9/Valuation!$C$50</f>
        <v>0.25298758292001206</v>
      </c>
    </row>
    <row r="18" spans="2:15" x14ac:dyDescent="0.25">
      <c r="B18" s="19" t="s">
        <v>29</v>
      </c>
      <c r="C18" s="21" t="s">
        <v>759</v>
      </c>
      <c r="D18" s="331">
        <f>Valuation!C42</f>
        <v>164.20825063761475</v>
      </c>
      <c r="E18" s="331" t="s">
        <v>759</v>
      </c>
      <c r="F18" s="331" t="s">
        <v>759</v>
      </c>
    </row>
    <row r="20" spans="2:15" x14ac:dyDescent="0.25">
      <c r="C20" s="333">
        <v>3.2131335996449173</v>
      </c>
      <c r="D20" s="52">
        <v>141.87135024443938</v>
      </c>
      <c r="E20" s="52">
        <v>196.31115900214166</v>
      </c>
      <c r="F20" s="335">
        <v>0.25298758292001206</v>
      </c>
    </row>
    <row r="21" spans="2:15" x14ac:dyDescent="0.25">
      <c r="B21" t="s">
        <v>27</v>
      </c>
      <c r="C21" s="3">
        <f>(Valuation!H65-'Income Statement (Y)'!H31)/('10k Key Ratios'!F6+'Balance Sheet (Y)'!H23+'Balance Sheet (Y)'!H37)</f>
        <v>0.13014527845036319</v>
      </c>
    </row>
    <row r="22" spans="2:15" x14ac:dyDescent="0.25">
      <c r="B22" t="s">
        <v>1283</v>
      </c>
      <c r="C22" s="11">
        <f>'10k Key Ratios'!F6+'Balance Sheet (Y)'!H23+'Balance Sheet (Y)'!H37</f>
        <v>8260</v>
      </c>
    </row>
    <row r="23" spans="2:15" x14ac:dyDescent="0.25">
      <c r="L23" s="28" t="s">
        <v>63</v>
      </c>
      <c r="M23" s="340">
        <v>2020</v>
      </c>
      <c r="N23" s="395">
        <v>2019</v>
      </c>
      <c r="O23" s="34">
        <v>2018</v>
      </c>
    </row>
    <row r="24" spans="2:15" x14ac:dyDescent="0.25">
      <c r="B24" s="480" t="s">
        <v>34</v>
      </c>
      <c r="C24" s="480"/>
      <c r="D24" s="480"/>
      <c r="E24" s="480"/>
      <c r="L24" s="22" t="s">
        <v>61</v>
      </c>
      <c r="M24" s="49">
        <f>'Income Statement (Y)'!F2</f>
        <v>21196.834119075153</v>
      </c>
      <c r="N24" s="49">
        <f>'Income Statement (Y)'!G2</f>
        <v>20705.089049617047</v>
      </c>
      <c r="O24" s="49">
        <f>'Income Statement (Y)'!H2</f>
        <v>20428</v>
      </c>
    </row>
    <row r="25" spans="2:15" x14ac:dyDescent="0.25">
      <c r="B25" s="336" t="s">
        <v>1375</v>
      </c>
      <c r="C25" s="410">
        <v>2021</v>
      </c>
      <c r="D25" s="318">
        <v>2020</v>
      </c>
      <c r="E25" s="318">
        <v>2019</v>
      </c>
      <c r="F25" s="318">
        <v>2018</v>
      </c>
      <c r="G25" s="7"/>
      <c r="L25" s="22" t="s">
        <v>62</v>
      </c>
      <c r="M25" s="49">
        <f>'Analyst Coverage'!H85</f>
        <v>22637.52</v>
      </c>
      <c r="N25" s="49">
        <f>'Analyst Coverage'!H86</f>
        <v>22598.83</v>
      </c>
      <c r="O25" s="49">
        <f>'Analyst Coverage'!H87</f>
        <v>21986.13</v>
      </c>
    </row>
    <row r="26" spans="2:15" x14ac:dyDescent="0.25">
      <c r="B26" s="337" t="s">
        <v>36</v>
      </c>
      <c r="C26" s="410">
        <v>15.55</v>
      </c>
      <c r="D26" s="318">
        <v>13.5</v>
      </c>
      <c r="E26" s="318">
        <v>12.23</v>
      </c>
      <c r="F26" s="318">
        <v>12.64</v>
      </c>
      <c r="G26" s="7"/>
      <c r="L26" s="22" t="s">
        <v>64</v>
      </c>
      <c r="M26" s="50">
        <f t="shared" ref="M26:N26" si="0">M24/M25-1</f>
        <v>-6.3641506707662665E-2</v>
      </c>
      <c r="N26" s="50">
        <f t="shared" si="0"/>
        <v>-8.379818558672969E-2</v>
      </c>
      <c r="O26" s="50">
        <f>O24/O25-1</f>
        <v>-7.0868770447550355E-2</v>
      </c>
    </row>
    <row r="27" spans="2:15" x14ac:dyDescent="0.25">
      <c r="B27" s="337" t="s">
        <v>37</v>
      </c>
      <c r="C27" s="410">
        <v>15.55</v>
      </c>
      <c r="D27" s="318">
        <v>14.49</v>
      </c>
      <c r="E27" s="318">
        <v>14.18</v>
      </c>
      <c r="F27" s="318">
        <v>13.67</v>
      </c>
      <c r="G27" s="7"/>
    </row>
    <row r="28" spans="2:15" x14ac:dyDescent="0.25">
      <c r="B28" s="337" t="s">
        <v>38</v>
      </c>
      <c r="C28" s="410">
        <v>15.55</v>
      </c>
      <c r="D28" s="318">
        <v>15.9</v>
      </c>
      <c r="E28" s="318">
        <v>14.95</v>
      </c>
      <c r="F28" s="318">
        <v>14.61</v>
      </c>
      <c r="G28" s="7"/>
    </row>
    <row r="29" spans="2:15" x14ac:dyDescent="0.25">
      <c r="B29" s="338" t="s">
        <v>39</v>
      </c>
      <c r="C29" s="339">
        <f>'Income Statement (Y)'!D42</f>
        <v>11.458407106178832</v>
      </c>
      <c r="D29" s="339">
        <f>'Income Statement (Y)'!E42</f>
        <v>11.496789297950668</v>
      </c>
      <c r="E29" s="339">
        <f>'Income Statement (Y)'!F42</f>
        <v>11.554938278619755</v>
      </c>
      <c r="F29" s="339">
        <f>'Income Statement (Y)'!G42</f>
        <v>13.249827692745972</v>
      </c>
      <c r="G29" s="18"/>
    </row>
    <row r="30" spans="2:15" x14ac:dyDescent="0.25">
      <c r="C30" s="290">
        <f>C26/C29</f>
        <v>1.3570821717108321</v>
      </c>
      <c r="D30" s="290">
        <f>D26/D29</f>
        <v>1.1742408815308469</v>
      </c>
      <c r="E30" s="290">
        <f t="shared" ref="E30:F30" si="1">E26/E29</f>
        <v>1.0584219236055394</v>
      </c>
      <c r="F30" s="290">
        <f t="shared" si="1"/>
        <v>0.95397466994383329</v>
      </c>
    </row>
    <row r="35" spans="2:3" x14ac:dyDescent="0.25">
      <c r="B35" s="481" t="s">
        <v>41</v>
      </c>
      <c r="C35" s="481"/>
    </row>
    <row r="36" spans="2:3" x14ac:dyDescent="0.25">
      <c r="B36" s="22" t="s">
        <v>1290</v>
      </c>
      <c r="C36" s="23">
        <f>C4</f>
        <v>143.96</v>
      </c>
    </row>
    <row r="37" spans="2:3" x14ac:dyDescent="0.25">
      <c r="B37" s="22" t="s">
        <v>42</v>
      </c>
      <c r="C37" s="23">
        <f>Valuation!C49/M</f>
        <v>165.683334</v>
      </c>
    </row>
    <row r="38" spans="2:3" x14ac:dyDescent="0.25">
      <c r="B38" s="24" t="s">
        <v>21</v>
      </c>
      <c r="C38" s="25">
        <f>C37*C36</f>
        <v>23851.772762640001</v>
      </c>
    </row>
    <row r="39" spans="2:3" x14ac:dyDescent="0.25">
      <c r="B39" s="22" t="s">
        <v>43</v>
      </c>
      <c r="C39" s="23">
        <f>Valuation!H59</f>
        <v>1567</v>
      </c>
    </row>
    <row r="40" spans="2:3" x14ac:dyDescent="0.25">
      <c r="B40" s="22" t="s">
        <v>44</v>
      </c>
      <c r="C40" s="23">
        <f>Valuation!H56</f>
        <v>1943</v>
      </c>
    </row>
    <row r="41" spans="2:3" x14ac:dyDescent="0.25">
      <c r="B41" s="22" t="s">
        <v>45</v>
      </c>
      <c r="C41" s="23">
        <v>0</v>
      </c>
    </row>
    <row r="42" spans="2:3" x14ac:dyDescent="0.25">
      <c r="B42" s="24" t="s">
        <v>18</v>
      </c>
      <c r="C42" s="25">
        <f>C38-C39+C40</f>
        <v>24227.772762640001</v>
      </c>
    </row>
    <row r="44" spans="2:3" x14ac:dyDescent="0.25">
      <c r="B44" s="481" t="s">
        <v>47</v>
      </c>
      <c r="C44" s="481"/>
    </row>
    <row r="45" spans="2:3" x14ac:dyDescent="0.25">
      <c r="B45" s="22" t="s">
        <v>51</v>
      </c>
      <c r="C45" s="23" t="s">
        <v>1289</v>
      </c>
    </row>
    <row r="46" spans="2:3" x14ac:dyDescent="0.25">
      <c r="B46" s="22"/>
      <c r="C46" s="23"/>
    </row>
    <row r="47" spans="2:3" x14ac:dyDescent="0.25">
      <c r="B47" s="22" t="s">
        <v>49</v>
      </c>
      <c r="C47" s="26">
        <v>17.89</v>
      </c>
    </row>
    <row r="48" spans="2:3" x14ac:dyDescent="0.25">
      <c r="B48" s="22" t="s">
        <v>50</v>
      </c>
      <c r="C48" s="26">
        <v>18.66</v>
      </c>
    </row>
    <row r="49" spans="2:10" x14ac:dyDescent="0.25">
      <c r="B49" s="22" t="s">
        <v>52</v>
      </c>
      <c r="C49" s="26">
        <v>10.41</v>
      </c>
    </row>
    <row r="50" spans="2:10" x14ac:dyDescent="0.25">
      <c r="B50" s="22"/>
      <c r="C50" s="23"/>
    </row>
    <row r="51" spans="2:10" x14ac:dyDescent="0.25">
      <c r="B51" s="22"/>
      <c r="C51" s="23"/>
    </row>
    <row r="53" spans="2:10" x14ac:dyDescent="0.25">
      <c r="B53" s="48" t="s">
        <v>48</v>
      </c>
      <c r="C53" s="48"/>
      <c r="D53" s="48"/>
      <c r="E53" s="48"/>
    </row>
    <row r="54" spans="2:10" x14ac:dyDescent="0.25">
      <c r="B54" s="22" t="s">
        <v>48</v>
      </c>
      <c r="C54" s="472">
        <f>D17</f>
        <v>141.87135024443938</v>
      </c>
      <c r="D54" s="22"/>
      <c r="E54" s="22"/>
    </row>
    <row r="55" spans="2:10" x14ac:dyDescent="0.25">
      <c r="B55" s="22" t="s">
        <v>60</v>
      </c>
      <c r="C55" s="23"/>
      <c r="D55" s="22"/>
      <c r="E55" s="22"/>
    </row>
    <row r="56" spans="2:10" x14ac:dyDescent="0.25">
      <c r="B56" s="22"/>
      <c r="C56" s="23" t="s">
        <v>35</v>
      </c>
      <c r="D56" s="410" t="s">
        <v>36</v>
      </c>
      <c r="E56" s="410" t="s">
        <v>39</v>
      </c>
    </row>
    <row r="57" spans="2:10" x14ac:dyDescent="0.25">
      <c r="B57" s="22" t="s">
        <v>53</v>
      </c>
      <c r="C57" s="46">
        <f>F27</f>
        <v>13.67</v>
      </c>
      <c r="D57" s="27">
        <v>15.2</v>
      </c>
      <c r="E57" s="27">
        <f>F29</f>
        <v>13.249827692745972</v>
      </c>
    </row>
    <row r="58" spans="2:10" x14ac:dyDescent="0.25">
      <c r="B58" s="22" t="s">
        <v>59</v>
      </c>
      <c r="C58" s="47">
        <f>E27</f>
        <v>14.18</v>
      </c>
      <c r="D58" s="27">
        <v>16.600000000000001</v>
      </c>
      <c r="E58" s="27">
        <f>E29</f>
        <v>11.554938278619755</v>
      </c>
    </row>
    <row r="59" spans="2:10" x14ac:dyDescent="0.25">
      <c r="B59" s="22" t="s">
        <v>1285</v>
      </c>
      <c r="C59" s="410">
        <f>D27</f>
        <v>14.49</v>
      </c>
      <c r="D59" s="410">
        <f>D28</f>
        <v>15.9</v>
      </c>
      <c r="E59" s="27">
        <f>D29</f>
        <v>11.496789297950668</v>
      </c>
    </row>
    <row r="60" spans="2:10" x14ac:dyDescent="0.25">
      <c r="B60" s="22"/>
      <c r="C60" s="23"/>
      <c r="D60" s="22"/>
    </row>
    <row r="63" spans="2:10" x14ac:dyDescent="0.25">
      <c r="H63" s="48" t="s">
        <v>1374</v>
      </c>
      <c r="I63" s="442" t="s">
        <v>296</v>
      </c>
      <c r="J63" s="442" t="s">
        <v>1372</v>
      </c>
    </row>
    <row r="64" spans="2:10" x14ac:dyDescent="0.25">
      <c r="H64" s="348" t="s">
        <v>1117</v>
      </c>
      <c r="I64" s="357">
        <f>VLOOKUP(H64, 'Unit Sales'!$B$20:$C$30, 2,0)/I$77</f>
        <v>0.54</v>
      </c>
      <c r="J64" s="357">
        <f>VLOOKUP(H64, 'Misc data'!$D$110:$I$133, 6, 0)</f>
        <v>0.37130801687763715</v>
      </c>
    </row>
    <row r="65" spans="8:11" x14ac:dyDescent="0.25">
      <c r="H65" s="348" t="s">
        <v>780</v>
      </c>
      <c r="I65" s="357">
        <f>SUBTOTAL(9,I66:I74)</f>
        <v>0.45999999999999996</v>
      </c>
      <c r="J65" s="357">
        <f>SUBTOTAL(9,J66:J74)</f>
        <v>0.62869198312236296</v>
      </c>
    </row>
    <row r="66" spans="8:11" x14ac:dyDescent="0.25">
      <c r="H66" s="354" t="s">
        <v>1306</v>
      </c>
      <c r="I66" s="357">
        <f>VLOOKUP(H66, 'Unit Sales'!$B$20:$C$30, 2,0)/I$77</f>
        <v>0.13058656843298383</v>
      </c>
      <c r="J66" s="357">
        <f>VLOOKUP(H66, 'Misc data'!$D$110:$I$133, 6, 0)</f>
        <v>6.1603375527426167E-2</v>
      </c>
      <c r="K66" s="475"/>
    </row>
    <row r="67" spans="8:11" x14ac:dyDescent="0.25">
      <c r="H67" s="354" t="s">
        <v>353</v>
      </c>
      <c r="I67" s="357">
        <f>VLOOKUP(H67, 'Unit Sales'!$B$20:$C$30, 2,0)/I$77</f>
        <v>0.1086710116180221</v>
      </c>
      <c r="J67" s="357">
        <f>VLOOKUP(H67, 'Misc data'!$D$110:$I$133, 6, 0)</f>
        <v>8.2700421940928276E-2</v>
      </c>
    </row>
    <row r="68" spans="8:11" x14ac:dyDescent="0.25">
      <c r="H68" s="354" t="s">
        <v>354</v>
      </c>
      <c r="I68" s="357">
        <f>VLOOKUP(H68, 'Unit Sales'!$B$20:$C$30, 2,0)/I$77</f>
        <v>6.2340606404080477E-2</v>
      </c>
      <c r="J68" s="357">
        <f>VLOOKUP(H68, 'Misc data'!$D$110:$I$133, 6, 0)</f>
        <v>0.17046413502109703</v>
      </c>
    </row>
    <row r="69" spans="8:11" x14ac:dyDescent="0.25">
      <c r="H69" s="354" t="s">
        <v>355</v>
      </c>
      <c r="I69" s="357">
        <f>VLOOKUP(H69, 'Unit Sales'!$B$20:$C$30, 2,0)/I$77</f>
        <v>4.6330405213941626E-2</v>
      </c>
      <c r="J69" s="357">
        <f>VLOOKUP(H69, 'Misc data'!$D$110:$I$133, 6, 0)</f>
        <v>7.763713080168777E-2</v>
      </c>
    </row>
    <row r="70" spans="8:11" x14ac:dyDescent="0.25">
      <c r="H70" s="354" t="s">
        <v>1373</v>
      </c>
      <c r="I70" s="357">
        <f>SUBTOTAL(9,I71:I73)</f>
        <v>8.8410314536695955E-2</v>
      </c>
      <c r="J70" s="357">
        <f>SUBTOTAL(9,J71:J73)</f>
        <v>0.17552742616033756</v>
      </c>
    </row>
    <row r="71" spans="8:11" x14ac:dyDescent="0.25">
      <c r="H71" s="421" t="s">
        <v>256</v>
      </c>
      <c r="I71" s="357">
        <f>VLOOKUP(H71, 'Unit Sales'!$B$20:$C$30, 2,0)/I$77</f>
        <v>3.7829413431567017E-2</v>
      </c>
      <c r="J71" s="357">
        <f>VLOOKUP(H71, 'Misc data'!$D$110:$I$133, 6, 0)</f>
        <v>9.1139240506329128E-2</v>
      </c>
    </row>
    <row r="72" spans="8:11" x14ac:dyDescent="0.25">
      <c r="H72" s="421" t="s">
        <v>235</v>
      </c>
      <c r="I72" s="357">
        <f>VLOOKUP(H72, 'Unit Sales'!$B$20:$C$30, 2,0)/I$77</f>
        <v>2.6919807310852934E-2</v>
      </c>
      <c r="J72" s="357">
        <f>VLOOKUP(H72, 'Misc data'!$D$110:$I$133, 6, 0)</f>
        <v>5.4008438818565409E-2</v>
      </c>
    </row>
    <row r="73" spans="8:11" x14ac:dyDescent="0.25">
      <c r="H73" s="421" t="s">
        <v>273</v>
      </c>
      <c r="I73" s="357">
        <f>VLOOKUP(H73, 'Unit Sales'!$B$20:$C$30, 2,0)/I$77</f>
        <v>2.3661093794276E-2</v>
      </c>
      <c r="J73" s="357">
        <f>VLOOKUP(H73, 'Misc data'!$D$110:$I$133, 6, 0)</f>
        <v>3.037974683544304E-2</v>
      </c>
    </row>
    <row r="74" spans="8:11" x14ac:dyDescent="0.25">
      <c r="H74" s="354" t="s">
        <v>356</v>
      </c>
      <c r="I74" s="357">
        <f>VLOOKUP(H74, 'Unit Sales'!$B$20:$C$30, 2,0)/I$77</f>
        <v>2.3661093794276E-2</v>
      </c>
      <c r="J74" s="357">
        <f>VLOOKUP(H74, 'Misc data'!$D$110:$I$133, 6, 0)</f>
        <v>6.0759493670886081E-2</v>
      </c>
    </row>
    <row r="77" spans="8:11" x14ac:dyDescent="0.25">
      <c r="H77" t="s">
        <v>335</v>
      </c>
      <c r="I77">
        <f>VLOOKUP(H77, 'Unit Sales'!$B$20:$C$30, 2,0)</f>
        <v>7058</v>
      </c>
    </row>
  </sheetData>
  <mergeCells count="4">
    <mergeCell ref="Q7:Q10"/>
    <mergeCell ref="B24:E24"/>
    <mergeCell ref="B35:C35"/>
    <mergeCell ref="B44:C44"/>
  </mergeCells>
  <conditionalFormatting sqref="U4 S4 W4">
    <cfRule type="colorScale" priority="2">
      <colorScale>
        <cfvo type="min"/>
        <cfvo type="percentile" val="50"/>
        <cfvo type="max"/>
        <color rgb="FFF8696B"/>
        <color rgb="FFFFEB84"/>
        <color rgb="FF63BE7B"/>
      </colorScale>
    </cfRule>
  </conditionalFormatting>
  <conditionalFormatting sqref="U5 S5 W5">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A77B8-973A-4B8E-8D10-ED762E912D24}">
  <sheetPr codeName="Sheet15">
    <tabColor theme="9" tint="0.39997558519241921"/>
  </sheetPr>
  <dimension ref="B3:J22"/>
  <sheetViews>
    <sheetView workbookViewId="0"/>
  </sheetViews>
  <sheetFormatPr defaultColWidth="8.7109375" defaultRowHeight="15" x14ac:dyDescent="0.25"/>
  <cols>
    <col min="1" max="1" width="8.7109375" style="22"/>
    <col min="2" max="2" width="2.42578125" style="280" customWidth="1"/>
    <col min="3" max="3" width="20" style="22" customWidth="1"/>
    <col min="4" max="4" width="39.7109375" style="22" bestFit="1" customWidth="1"/>
    <col min="5" max="5" width="8.7109375" style="22"/>
    <col min="6" max="6" width="2.85546875" style="22" bestFit="1" customWidth="1"/>
    <col min="7" max="7" width="18.28515625" style="22" customWidth="1"/>
    <col min="8" max="8" width="39.7109375" style="22" bestFit="1" customWidth="1"/>
    <col min="9" max="9" width="10.28515625" style="22" bestFit="1" customWidth="1"/>
    <col min="10" max="10" width="15.85546875" style="22" bestFit="1" customWidth="1"/>
    <col min="11" max="16384" width="8.7109375" style="22"/>
  </cols>
  <sheetData>
    <row r="3" spans="2:10" x14ac:dyDescent="0.25">
      <c r="B3" s="486" t="s">
        <v>1147</v>
      </c>
      <c r="C3" s="486"/>
      <c r="D3" s="486"/>
    </row>
    <row r="4" spans="2:10" ht="29.1" customHeight="1" x14ac:dyDescent="0.25">
      <c r="B4" s="305">
        <v>1</v>
      </c>
      <c r="C4" s="487" t="s">
        <v>1160</v>
      </c>
      <c r="D4" s="488"/>
    </row>
    <row r="5" spans="2:10" x14ac:dyDescent="0.25">
      <c r="B5" s="305">
        <f>MAX(B$4:B4)+1</f>
        <v>2</v>
      </c>
      <c r="C5" s="487" t="s">
        <v>1153</v>
      </c>
      <c r="D5" s="488"/>
    </row>
    <row r="6" spans="2:10" ht="33" customHeight="1" x14ac:dyDescent="0.25">
      <c r="B6" s="305">
        <f>MAX(B$4:B5)+1</f>
        <v>3</v>
      </c>
      <c r="C6" s="489" t="s">
        <v>1347</v>
      </c>
      <c r="D6" s="490"/>
    </row>
    <row r="7" spans="2:10" x14ac:dyDescent="0.25">
      <c r="B7" s="397">
        <f>MAX(B$4:B6)+1</f>
        <v>4</v>
      </c>
      <c r="C7" s="487" t="s">
        <v>1342</v>
      </c>
      <c r="D7" s="488"/>
    </row>
    <row r="8" spans="2:10" x14ac:dyDescent="0.25">
      <c r="B8" s="396"/>
    </row>
    <row r="11" spans="2:10" ht="30" x14ac:dyDescent="0.25">
      <c r="B11" s="22"/>
      <c r="F11" s="485" t="s">
        <v>1146</v>
      </c>
      <c r="G11" s="485"/>
      <c r="H11" s="485"/>
      <c r="I11" s="45" t="s">
        <v>1385</v>
      </c>
      <c r="J11" s="45" t="s">
        <v>1343</v>
      </c>
    </row>
    <row r="12" spans="2:10" x14ac:dyDescent="0.25">
      <c r="B12" s="22"/>
      <c r="F12" s="305">
        <v>1</v>
      </c>
      <c r="G12" s="482" t="s">
        <v>296</v>
      </c>
      <c r="H12" s="304" t="s">
        <v>1148</v>
      </c>
      <c r="I12" s="397"/>
      <c r="J12" s="304" t="s">
        <v>1387</v>
      </c>
    </row>
    <row r="13" spans="2:10" x14ac:dyDescent="0.25">
      <c r="B13" s="22"/>
      <c r="F13" s="305">
        <f>MAX(F$12:F12)+1</f>
        <v>2</v>
      </c>
      <c r="G13" s="483"/>
      <c r="H13" s="304" t="s">
        <v>1157</v>
      </c>
      <c r="I13" s="397"/>
      <c r="J13" s="304" t="s">
        <v>1387</v>
      </c>
    </row>
    <row r="14" spans="2:10" x14ac:dyDescent="0.25">
      <c r="B14" s="22"/>
      <c r="F14" s="305">
        <f>MAX(F$12:F13)+1</f>
        <v>3</v>
      </c>
      <c r="G14" s="482" t="s">
        <v>1345</v>
      </c>
      <c r="H14" s="304" t="s">
        <v>1154</v>
      </c>
      <c r="I14" s="397">
        <f>'Segment Earnings'!J33</f>
        <v>90</v>
      </c>
      <c r="J14" s="304" t="s">
        <v>1344</v>
      </c>
    </row>
    <row r="15" spans="2:10" x14ac:dyDescent="0.25">
      <c r="B15" s="22"/>
      <c r="F15" s="397">
        <f>MAX(F$12:F14)+1</f>
        <v>4</v>
      </c>
      <c r="G15" s="483"/>
      <c r="H15" s="304" t="s">
        <v>1357</v>
      </c>
      <c r="I15" s="353">
        <f>'Segment Earnings'!N60</f>
        <v>-337.69999999991705</v>
      </c>
      <c r="J15" s="304" t="s">
        <v>1344</v>
      </c>
    </row>
    <row r="16" spans="2:10" x14ac:dyDescent="0.25">
      <c r="B16" s="22"/>
      <c r="F16" s="397">
        <f>MAX(F$12:F15)+1</f>
        <v>5</v>
      </c>
      <c r="G16" s="306" t="s">
        <v>1144</v>
      </c>
      <c r="H16" s="304" t="s">
        <v>1158</v>
      </c>
      <c r="I16" s="397">
        <f>'N2 Income Tax'!O26</f>
        <v>345.6</v>
      </c>
      <c r="J16" s="304" t="s">
        <v>69</v>
      </c>
    </row>
    <row r="17" spans="2:10" x14ac:dyDescent="0.25">
      <c r="B17" s="22"/>
      <c r="F17" s="397">
        <f>MAX(F$12:F16)+1</f>
        <v>6</v>
      </c>
      <c r="G17" s="484" t="s">
        <v>1159</v>
      </c>
      <c r="H17" s="304" t="s">
        <v>1149</v>
      </c>
      <c r="I17" s="397"/>
      <c r="J17" s="304" t="s">
        <v>843</v>
      </c>
    </row>
    <row r="18" spans="2:10" x14ac:dyDescent="0.25">
      <c r="B18" s="22"/>
      <c r="F18" s="397">
        <f>MAX(F$12:F17)+1</f>
        <v>7</v>
      </c>
      <c r="G18" s="484"/>
      <c r="H18" s="304" t="s">
        <v>1150</v>
      </c>
      <c r="I18" s="353">
        <f>'Cash Flow (Y)'!Q65</f>
        <v>-344.64591173815415</v>
      </c>
      <c r="J18" s="304" t="s">
        <v>1346</v>
      </c>
    </row>
    <row r="19" spans="2:10" x14ac:dyDescent="0.25">
      <c r="B19" s="22"/>
      <c r="F19" s="397">
        <f>MAX(F$12:F18)+1</f>
        <v>8</v>
      </c>
      <c r="G19" s="484"/>
      <c r="H19" s="304" t="s">
        <v>1151</v>
      </c>
      <c r="I19" s="397">
        <f>'Cash Flow (Y)'!Q66</f>
        <v>-185</v>
      </c>
      <c r="J19" s="304" t="s">
        <v>1346</v>
      </c>
    </row>
    <row r="20" spans="2:10" x14ac:dyDescent="0.25">
      <c r="B20" s="22"/>
      <c r="F20" s="397">
        <f>MAX(F$12:F19)+1</f>
        <v>9</v>
      </c>
      <c r="G20" s="306" t="s">
        <v>601</v>
      </c>
      <c r="H20" s="304" t="s">
        <v>1145</v>
      </c>
      <c r="I20" s="397">
        <f>'Balance Sheet (Y)'!P17</f>
        <v>-200</v>
      </c>
      <c r="J20" s="304" t="s">
        <v>3</v>
      </c>
    </row>
    <row r="21" spans="2:10" x14ac:dyDescent="0.25">
      <c r="B21" s="22"/>
      <c r="F21" s="397">
        <f>MAX(F$12:F20)+1</f>
        <v>10</v>
      </c>
      <c r="G21" s="306" t="s">
        <v>1155</v>
      </c>
      <c r="H21" s="304" t="s">
        <v>1156</v>
      </c>
      <c r="I21" s="353">
        <f>'Income Statement (Y)'!Q36</f>
        <v>59.349091286454012</v>
      </c>
      <c r="J21" s="304" t="s">
        <v>69</v>
      </c>
    </row>
    <row r="22" spans="2:10" x14ac:dyDescent="0.25">
      <c r="F22" s="397">
        <f>MAX(F$12:F21)+1</f>
        <v>11</v>
      </c>
      <c r="G22" s="306" t="s">
        <v>1161</v>
      </c>
      <c r="H22" s="304" t="s">
        <v>1162</v>
      </c>
      <c r="I22" s="397">
        <f>-'Income Statement (Y)'!I27</f>
        <v>12</v>
      </c>
      <c r="J22" s="304" t="s">
        <v>1386</v>
      </c>
    </row>
  </sheetData>
  <mergeCells count="9">
    <mergeCell ref="G12:G13"/>
    <mergeCell ref="G17:G19"/>
    <mergeCell ref="F11:H11"/>
    <mergeCell ref="B3:D3"/>
    <mergeCell ref="C5:D5"/>
    <mergeCell ref="C6:D6"/>
    <mergeCell ref="C4:D4"/>
    <mergeCell ref="C7:D7"/>
    <mergeCell ref="G14:G1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479FA-A39C-48B1-BBA6-57EB85ED4ACE}">
  <sheetPr codeName="Sheet16">
    <tabColor theme="9" tint="0.39997558519241921"/>
  </sheetPr>
  <dimension ref="A2:Z207"/>
  <sheetViews>
    <sheetView tabSelected="1" zoomScale="80" zoomScaleNormal="80" workbookViewId="0"/>
  </sheetViews>
  <sheetFormatPr defaultColWidth="8.7109375" defaultRowHeight="15" x14ac:dyDescent="0.25"/>
  <cols>
    <col min="1" max="1" width="8.7109375" style="22"/>
    <col min="2" max="2" width="18.42578125" style="22" bestFit="1" customWidth="1"/>
    <col min="3" max="6" width="8.7109375" style="22"/>
    <col min="7" max="7" width="9.85546875" style="22" bestFit="1" customWidth="1"/>
    <col min="8" max="8" width="9" style="22" customWidth="1"/>
    <col min="9" max="9" width="9.85546875" style="22" bestFit="1" customWidth="1"/>
    <col min="10" max="10" width="8.85546875" style="22" customWidth="1"/>
    <col min="11" max="16384" width="8.7109375" style="22"/>
  </cols>
  <sheetData>
    <row r="2" spans="1:26" ht="18.75" x14ac:dyDescent="0.3">
      <c r="B2" s="502" t="s">
        <v>296</v>
      </c>
      <c r="C2" s="502"/>
      <c r="D2" s="502"/>
      <c r="E2" s="502"/>
      <c r="F2" s="502"/>
      <c r="G2" s="502"/>
      <c r="H2" s="502"/>
      <c r="I2" s="502"/>
      <c r="J2" s="502"/>
      <c r="K2" s="502"/>
      <c r="L2" s="502"/>
      <c r="M2" s="502"/>
      <c r="N2" s="502"/>
      <c r="O2" s="502"/>
      <c r="P2" s="502"/>
      <c r="Q2" s="502"/>
      <c r="R2" s="502"/>
      <c r="S2" s="502"/>
      <c r="T2" s="502"/>
      <c r="U2" s="502"/>
      <c r="V2" s="502"/>
      <c r="W2" s="502"/>
      <c r="X2" s="502"/>
      <c r="Y2" s="502"/>
      <c r="Z2" s="502"/>
    </row>
    <row r="3" spans="1:26" x14ac:dyDescent="0.25">
      <c r="B3" s="38"/>
    </row>
    <row r="4" spans="1:26" x14ac:dyDescent="0.25">
      <c r="B4" s="304" t="s">
        <v>1090</v>
      </c>
      <c r="C4" s="347">
        <v>2022</v>
      </c>
      <c r="D4" s="347">
        <v>2021</v>
      </c>
      <c r="E4" s="347">
        <v>2020</v>
      </c>
      <c r="F4" s="347">
        <v>2019</v>
      </c>
      <c r="G4" s="347">
        <v>2018</v>
      </c>
      <c r="H4" s="347">
        <v>2017</v>
      </c>
      <c r="I4" s="347">
        <v>2016</v>
      </c>
      <c r="J4" s="347">
        <v>2015</v>
      </c>
      <c r="K4" s="347">
        <v>2014</v>
      </c>
      <c r="L4" s="347">
        <v>2013</v>
      </c>
    </row>
    <row r="5" spans="1:26" x14ac:dyDescent="0.25">
      <c r="A5" s="22" t="s">
        <v>1101</v>
      </c>
      <c r="B5" s="348" t="s">
        <v>15</v>
      </c>
      <c r="C5" s="353">
        <f>IF(Scen_Customers =1, C6, IF(Scen_Customers=2,C180,C183))</f>
        <v>22757.073175118854</v>
      </c>
      <c r="D5" s="353">
        <f>IF(Scen_Customers =1, D6, IF(Scen_Customers=2,D180,D183))</f>
        <v>22222.223350972708</v>
      </c>
      <c r="E5" s="353">
        <f>IF(Scen_Customers =1, E6, IF(Scen_Customers=2,E180,E183))</f>
        <v>21702.349070915727</v>
      </c>
      <c r="F5" s="353">
        <f>IF(Scen_Customers =1, F6, IF(Scen_Customers=2,F180,F183))</f>
        <v>21196.834119075153</v>
      </c>
      <c r="G5" s="353">
        <f>IF(Scen_Customers =1, G6, IF(Scen_Customers=2,G180,G183))</f>
        <v>20705.08904961705</v>
      </c>
      <c r="H5" s="353">
        <f>'Segment Earnings'!H2</f>
        <v>20428</v>
      </c>
      <c r="I5" s="353">
        <f>'Segment Earnings'!I2</f>
        <v>17509</v>
      </c>
      <c r="J5" s="353">
        <f>'Segment Earnings'!J2</f>
        <v>19110</v>
      </c>
      <c r="K5" s="353">
        <f>'Segment Earnings'!K2</f>
        <v>19221</v>
      </c>
      <c r="L5" s="353">
        <f>'Segment Earnings'!L2</f>
        <v>17301</v>
      </c>
    </row>
    <row r="6" spans="1:26" x14ac:dyDescent="0.25">
      <c r="A6" s="22" t="s">
        <v>1093</v>
      </c>
      <c r="B6" s="348" t="s">
        <v>1011</v>
      </c>
      <c r="C6" s="353">
        <f>AVERAGE(C7:C10)</f>
        <v>22757.073175118854</v>
      </c>
      <c r="D6" s="353">
        <f t="shared" ref="D6:G6" si="0">AVERAGE(D7:D10)</f>
        <v>22222.223350972708</v>
      </c>
      <c r="E6" s="353">
        <f t="shared" si="0"/>
        <v>21702.349070915727</v>
      </c>
      <c r="F6" s="353">
        <f t="shared" si="0"/>
        <v>21196.834119075153</v>
      </c>
      <c r="G6" s="353">
        <f t="shared" si="0"/>
        <v>20705.08904961705</v>
      </c>
      <c r="H6" s="353">
        <f t="shared" ref="H6:L9" si="1">H$5</f>
        <v>20428</v>
      </c>
      <c r="I6" s="353">
        <f t="shared" si="1"/>
        <v>17509</v>
      </c>
      <c r="J6" s="353">
        <f t="shared" si="1"/>
        <v>19110</v>
      </c>
      <c r="K6" s="353">
        <f t="shared" si="1"/>
        <v>19221</v>
      </c>
      <c r="L6" s="353">
        <f t="shared" si="1"/>
        <v>17301</v>
      </c>
    </row>
    <row r="7" spans="1:26" x14ac:dyDescent="0.25">
      <c r="B7" s="348" t="s">
        <v>1088</v>
      </c>
      <c r="C7" s="353">
        <f>'Segment Earnings'!C2</f>
        <v>21893.199999999852</v>
      </c>
      <c r="D7" s="353">
        <f>'Segment Earnings'!D2</f>
        <v>21438.999999999651</v>
      </c>
      <c r="E7" s="353">
        <f>'Segment Earnings'!E2</f>
        <v>20984.799999999988</v>
      </c>
      <c r="F7" s="353">
        <f>'Segment Earnings'!F2</f>
        <v>20530.599999999788</v>
      </c>
      <c r="G7" s="353">
        <f>'Segment Earnings'!G2</f>
        <v>20076.39999999982</v>
      </c>
      <c r="H7" s="353">
        <f t="shared" si="1"/>
        <v>20428</v>
      </c>
      <c r="I7" s="353">
        <f t="shared" si="1"/>
        <v>17509</v>
      </c>
      <c r="J7" s="353">
        <f t="shared" si="1"/>
        <v>19110</v>
      </c>
      <c r="K7" s="353">
        <f t="shared" si="1"/>
        <v>19221</v>
      </c>
      <c r="L7" s="353">
        <f t="shared" si="1"/>
        <v>17301</v>
      </c>
    </row>
    <row r="8" spans="1:26" x14ac:dyDescent="0.25">
      <c r="B8" s="348" t="s">
        <v>1091</v>
      </c>
      <c r="C8" s="353">
        <f t="shared" ref="C8:F8" si="2">D8*$E$28</f>
        <v>21676.809679619222</v>
      </c>
      <c r="D8" s="353">
        <f t="shared" si="2"/>
        <v>21421.084850496547</v>
      </c>
      <c r="E8" s="353">
        <f t="shared" si="2"/>
        <v>21168.376848536001</v>
      </c>
      <c r="F8" s="353">
        <f t="shared" si="2"/>
        <v>20918.650083739711</v>
      </c>
      <c r="G8" s="353">
        <f>H8*$E$28</f>
        <v>20671.869385970753</v>
      </c>
      <c r="H8" s="353">
        <f t="shared" si="1"/>
        <v>20428</v>
      </c>
      <c r="I8" s="353">
        <f t="shared" si="1"/>
        <v>17509</v>
      </c>
      <c r="J8" s="353">
        <f t="shared" si="1"/>
        <v>19110</v>
      </c>
      <c r="K8" s="353">
        <f t="shared" si="1"/>
        <v>19221</v>
      </c>
      <c r="L8" s="353">
        <f t="shared" si="1"/>
        <v>17301</v>
      </c>
    </row>
    <row r="9" spans="1:26" x14ac:dyDescent="0.25">
      <c r="A9" s="22" t="s">
        <v>38</v>
      </c>
      <c r="B9" s="348" t="s">
        <v>1092</v>
      </c>
      <c r="C9" s="353">
        <f t="shared" ref="C9:F9" si="3">D9*$C$28</f>
        <v>25705.764322965035</v>
      </c>
      <c r="D9" s="353">
        <f t="shared" si="3"/>
        <v>24551.022653893931</v>
      </c>
      <c r="E9" s="353">
        <f t="shared" si="3"/>
        <v>23448.153720662776</v>
      </c>
      <c r="F9" s="353">
        <f t="shared" si="3"/>
        <v>22394.827321811284</v>
      </c>
      <c r="G9" s="353">
        <f>H9*$C$28</f>
        <v>21388.817932040118</v>
      </c>
      <c r="H9" s="353">
        <f t="shared" si="1"/>
        <v>20428</v>
      </c>
      <c r="I9" s="353">
        <f t="shared" si="1"/>
        <v>17509</v>
      </c>
      <c r="J9" s="353">
        <f t="shared" si="1"/>
        <v>19110</v>
      </c>
      <c r="K9" s="353">
        <f t="shared" si="1"/>
        <v>19221</v>
      </c>
      <c r="L9" s="353">
        <f t="shared" si="1"/>
        <v>17301</v>
      </c>
    </row>
    <row r="10" spans="1:26" x14ac:dyDescent="0.25">
      <c r="A10" s="22" t="s">
        <v>36</v>
      </c>
      <c r="B10" s="348" t="s">
        <v>1089</v>
      </c>
      <c r="C10" s="353">
        <f>SUM(C15:C16)</f>
        <v>21752.518697891312</v>
      </c>
      <c r="D10" s="353">
        <f>SUM(D15:D16)</f>
        <v>21477.785899500712</v>
      </c>
      <c r="E10" s="353">
        <f>SUM(E15:E16)</f>
        <v>21208.065714464152</v>
      </c>
      <c r="F10" s="353">
        <f>SUM(F15:F16)</f>
        <v>20943.259070749824</v>
      </c>
      <c r="G10" s="353">
        <f>SUM(G15:G16)</f>
        <v>20683.268880457508</v>
      </c>
      <c r="H10" s="353">
        <f t="shared" ref="H10" si="4">H$5</f>
        <v>20428</v>
      </c>
      <c r="I10" s="353">
        <f>I$5</f>
        <v>17509</v>
      </c>
      <c r="J10" s="353">
        <f t="shared" ref="J10:L10" si="5">J$5</f>
        <v>19110</v>
      </c>
      <c r="K10" s="353">
        <f t="shared" si="5"/>
        <v>19221</v>
      </c>
      <c r="L10" s="353">
        <f t="shared" si="5"/>
        <v>17301</v>
      </c>
    </row>
    <row r="12" spans="1:26" x14ac:dyDescent="0.25">
      <c r="B12" s="412" t="s">
        <v>1320</v>
      </c>
      <c r="C12" s="413"/>
      <c r="D12" s="413"/>
      <c r="E12" s="413"/>
      <c r="F12" s="413"/>
      <c r="G12" s="413"/>
      <c r="H12" s="413"/>
      <c r="I12" s="413"/>
      <c r="J12" s="413"/>
      <c r="K12" s="413"/>
      <c r="L12" s="413"/>
    </row>
    <row r="13" spans="1:26" x14ac:dyDescent="0.25">
      <c r="B13" s="348" t="s">
        <v>1321</v>
      </c>
      <c r="C13" s="353">
        <f>C180</f>
        <v>24967.819739857412</v>
      </c>
      <c r="D13" s="353">
        <f>D180</f>
        <v>23999.862061730328</v>
      </c>
      <c r="E13" s="353">
        <f>E180</f>
        <v>23088.311910147986</v>
      </c>
      <c r="F13" s="353">
        <f>F180</f>
        <v>23398.380888433967</v>
      </c>
      <c r="G13" s="353">
        <f>G180</f>
        <v>22967.383499208769</v>
      </c>
      <c r="H13" s="353">
        <f>H$5</f>
        <v>20428</v>
      </c>
      <c r="I13" s="353">
        <f t="shared" ref="I13:L13" si="6">I$5</f>
        <v>17509</v>
      </c>
      <c r="J13" s="353">
        <f t="shared" si="6"/>
        <v>19110</v>
      </c>
      <c r="K13" s="353">
        <f t="shared" si="6"/>
        <v>19221</v>
      </c>
      <c r="L13" s="353">
        <f t="shared" si="6"/>
        <v>17301</v>
      </c>
    </row>
    <row r="15" spans="1:26" x14ac:dyDescent="0.25">
      <c r="B15" s="304" t="s">
        <v>860</v>
      </c>
      <c r="C15" s="353">
        <f t="shared" ref="C15:G16" si="7">D15*$E29</f>
        <v>12208.375605106357</v>
      </c>
      <c r="D15" s="353">
        <f t="shared" si="7"/>
        <v>11963.278904344366</v>
      </c>
      <c r="E15" s="353">
        <f t="shared" si="7"/>
        <v>11723.102792092061</v>
      </c>
      <c r="F15" s="353">
        <f t="shared" si="7"/>
        <v>11487.74848206955</v>
      </c>
      <c r="G15" s="353">
        <f t="shared" si="7"/>
        <v>11257.11917124124</v>
      </c>
      <c r="H15" s="353">
        <f>H19*'Segment Earnings'!H$2</f>
        <v>11031.12</v>
      </c>
      <c r="I15" s="353">
        <f>I19*'Segment Earnings'!I$2</f>
        <v>9454.86</v>
      </c>
      <c r="J15" s="353">
        <f>J19*'Segment Earnings'!J$2</f>
        <v>10701.6</v>
      </c>
      <c r="K15" s="353">
        <f>K19*'Segment Earnings'!K$2</f>
        <v>9994.92</v>
      </c>
      <c r="L15" s="353">
        <f>L19*'Segment Earnings'!L$2</f>
        <v>8304.48</v>
      </c>
    </row>
    <row r="16" spans="1:26" x14ac:dyDescent="0.25">
      <c r="B16" s="304" t="s">
        <v>861</v>
      </c>
      <c r="C16" s="353">
        <f t="shared" si="7"/>
        <v>9544.143092784956</v>
      </c>
      <c r="D16" s="353">
        <f t="shared" si="7"/>
        <v>9514.5069951563455</v>
      </c>
      <c r="E16" s="353">
        <f t="shared" si="7"/>
        <v>9484.9629223720931</v>
      </c>
      <c r="F16" s="353">
        <f t="shared" si="7"/>
        <v>9455.5105886802739</v>
      </c>
      <c r="G16" s="353">
        <f t="shared" si="7"/>
        <v>9426.1497092162663</v>
      </c>
      <c r="H16" s="353">
        <f>H20*'Segment Earnings'!H$2</f>
        <v>9396.880000000001</v>
      </c>
      <c r="I16" s="353">
        <f>I20*'Segment Earnings'!I$2</f>
        <v>8054.14</v>
      </c>
      <c r="J16" s="353">
        <f>J20*'Segment Earnings'!J$2</f>
        <v>8408.4</v>
      </c>
      <c r="K16" s="353">
        <f>K20*'Segment Earnings'!K$2</f>
        <v>9226.08</v>
      </c>
      <c r="L16" s="353">
        <f>L20*'Segment Earnings'!L$2</f>
        <v>8996.52</v>
      </c>
    </row>
    <row r="18" spans="2:12" x14ac:dyDescent="0.25">
      <c r="C18" s="470">
        <v>2022</v>
      </c>
      <c r="D18" s="470">
        <v>2021</v>
      </c>
      <c r="E18" s="470">
        <v>2020</v>
      </c>
      <c r="F18" s="470">
        <v>2019</v>
      </c>
      <c r="G18" s="470">
        <v>2018</v>
      </c>
      <c r="H18" s="470">
        <v>2017</v>
      </c>
      <c r="I18" s="470">
        <v>2016</v>
      </c>
      <c r="J18" s="470">
        <v>2015</v>
      </c>
      <c r="K18" s="470">
        <v>2014</v>
      </c>
      <c r="L18" s="470">
        <v>2013</v>
      </c>
    </row>
    <row r="19" spans="2:12" x14ac:dyDescent="0.25">
      <c r="B19" s="402" t="s">
        <v>1094</v>
      </c>
      <c r="C19" s="471">
        <f t="shared" ref="C19:G20" si="8">C15/C$10</f>
        <v>0.56123963273686728</v>
      </c>
      <c r="D19" s="471">
        <f t="shared" si="8"/>
        <v>0.55700708445103153</v>
      </c>
      <c r="E19" s="471">
        <f t="shared" si="8"/>
        <v>0.55276624233094329</v>
      </c>
      <c r="F19" s="471">
        <f t="shared" si="8"/>
        <v>0.54851770888485019</v>
      </c>
      <c r="G19" s="471">
        <f t="shared" si="8"/>
        <v>0.54426209107968793</v>
      </c>
      <c r="H19" s="401">
        <v>0.54</v>
      </c>
      <c r="I19" s="401">
        <v>0.54</v>
      </c>
      <c r="J19" s="401">
        <v>0.56000000000000005</v>
      </c>
      <c r="K19" s="401">
        <v>0.52</v>
      </c>
      <c r="L19" s="401">
        <v>0.48</v>
      </c>
    </row>
    <row r="20" spans="2:12" x14ac:dyDescent="0.25">
      <c r="B20" s="402" t="s">
        <v>1095</v>
      </c>
      <c r="C20" s="471">
        <f t="shared" si="8"/>
        <v>0.43876036726313283</v>
      </c>
      <c r="D20" s="471">
        <f t="shared" si="8"/>
        <v>0.44299291554896852</v>
      </c>
      <c r="E20" s="471">
        <f t="shared" si="8"/>
        <v>0.44723375766905682</v>
      </c>
      <c r="F20" s="471">
        <f t="shared" si="8"/>
        <v>0.45148229111514981</v>
      </c>
      <c r="G20" s="471">
        <f t="shared" si="8"/>
        <v>0.45573790892031196</v>
      </c>
      <c r="H20" s="401">
        <v>0.46</v>
      </c>
      <c r="I20" s="401">
        <v>0.46</v>
      </c>
      <c r="J20" s="401">
        <v>0.44</v>
      </c>
      <c r="K20" s="401">
        <v>0.48</v>
      </c>
      <c r="L20" s="401">
        <v>0.52</v>
      </c>
    </row>
    <row r="21" spans="2:12" x14ac:dyDescent="0.25">
      <c r="H21" s="392"/>
      <c r="I21" s="392"/>
      <c r="J21" s="392"/>
      <c r="K21" s="392"/>
      <c r="L21" s="392"/>
    </row>
    <row r="22" spans="2:12" x14ac:dyDescent="0.25">
      <c r="B22" s="304"/>
      <c r="C22" s="393">
        <v>2017</v>
      </c>
      <c r="D22" s="393">
        <v>2016</v>
      </c>
      <c r="E22" s="393">
        <v>2015</v>
      </c>
      <c r="F22" s="393">
        <v>2014</v>
      </c>
    </row>
    <row r="23" spans="2:12" x14ac:dyDescent="0.25">
      <c r="B23" s="304" t="s">
        <v>15</v>
      </c>
      <c r="C23" s="357">
        <f>H10/I10</f>
        <v>1.166714261237078</v>
      </c>
      <c r="D23" s="357">
        <f>I10/J10</f>
        <v>0.91622187336473049</v>
      </c>
      <c r="E23" s="357">
        <f>J10/K10</f>
        <v>0.99422506633369756</v>
      </c>
      <c r="F23" s="357">
        <f>K10/L10</f>
        <v>1.1109762441477371</v>
      </c>
    </row>
    <row r="24" spans="2:12" x14ac:dyDescent="0.25">
      <c r="B24" s="304" t="s">
        <v>860</v>
      </c>
      <c r="C24" s="357">
        <f t="shared" ref="C24:F25" si="9">H15/I15</f>
        <v>1.166714261237078</v>
      </c>
      <c r="D24" s="357">
        <f t="shared" si="9"/>
        <v>0.8834996636017044</v>
      </c>
      <c r="E24" s="357">
        <f t="shared" si="9"/>
        <v>1.0707039175901358</v>
      </c>
      <c r="F24" s="357">
        <f t="shared" si="9"/>
        <v>1.2035575978267152</v>
      </c>
    </row>
    <row r="25" spans="2:12" x14ac:dyDescent="0.25">
      <c r="B25" s="304" t="s">
        <v>861</v>
      </c>
      <c r="C25" s="357">
        <f t="shared" si="9"/>
        <v>1.1667142612370782</v>
      </c>
      <c r="D25" s="357">
        <f t="shared" si="9"/>
        <v>0.9578683221540365</v>
      </c>
      <c r="E25" s="357">
        <f t="shared" si="9"/>
        <v>0.91137297747255608</v>
      </c>
      <c r="F25" s="357">
        <f t="shared" si="9"/>
        <v>1.0255165330594496</v>
      </c>
    </row>
    <row r="27" spans="2:12" x14ac:dyDescent="0.25">
      <c r="B27" s="304" t="s">
        <v>864</v>
      </c>
      <c r="C27" s="393" t="s">
        <v>862</v>
      </c>
      <c r="D27" s="393" t="s">
        <v>863</v>
      </c>
      <c r="E27" s="393" t="s">
        <v>1087</v>
      </c>
    </row>
    <row r="28" spans="2:12" x14ac:dyDescent="0.25">
      <c r="B28" s="304" t="s">
        <v>15</v>
      </c>
      <c r="C28" s="403">
        <f>AVERAGE(C23:F23)</f>
        <v>1.0470343612708106</v>
      </c>
      <c r="D28" s="363">
        <f>AVERAGE(C23,E23:F23)</f>
        <v>1.0906385239061709</v>
      </c>
      <c r="E28" s="403">
        <f>(H10/L10)^(1/14)</f>
        <v>1.0119379961802797</v>
      </c>
    </row>
    <row r="29" spans="2:12" x14ac:dyDescent="0.25">
      <c r="B29" s="304" t="s">
        <v>860</v>
      </c>
      <c r="C29" s="403">
        <f>AVERAGE(C24:F24)</f>
        <v>1.0811188600639083</v>
      </c>
      <c r="D29" s="363">
        <f>AVERAGE(C24,E24:F24)</f>
        <v>1.1469919255513097</v>
      </c>
      <c r="E29" s="403">
        <f>(H15/L15)^(1/14)</f>
        <v>1.0204874184345052</v>
      </c>
    </row>
    <row r="30" spans="2:12" x14ac:dyDescent="0.25">
      <c r="B30" s="304" t="s">
        <v>861</v>
      </c>
      <c r="C30" s="403">
        <f>AVERAGE(C25:F25)</f>
        <v>1.01536802348078</v>
      </c>
      <c r="D30" s="363">
        <f>AVERAGE(C25,E25:F25)</f>
        <v>1.0345345905896945</v>
      </c>
      <c r="E30" s="403">
        <f>(H16/L16)^(1/14)</f>
        <v>1.0031148327121624</v>
      </c>
    </row>
    <row r="35" spans="1:26" ht="18.75" x14ac:dyDescent="0.3">
      <c r="B35" s="502" t="s">
        <v>75</v>
      </c>
      <c r="C35" s="502"/>
      <c r="D35" s="502"/>
      <c r="E35" s="502"/>
      <c r="F35" s="502"/>
      <c r="G35" s="502"/>
      <c r="H35" s="502"/>
      <c r="I35" s="502"/>
      <c r="J35" s="502"/>
      <c r="K35" s="502"/>
      <c r="L35" s="502"/>
      <c r="M35" s="502"/>
      <c r="N35" s="502"/>
      <c r="O35" s="502"/>
      <c r="P35" s="502"/>
      <c r="Q35" s="502"/>
      <c r="R35" s="502"/>
      <c r="S35" s="502"/>
      <c r="T35" s="502"/>
      <c r="U35" s="502"/>
      <c r="V35" s="502"/>
      <c r="W35" s="502"/>
      <c r="X35" s="502"/>
      <c r="Y35" s="502"/>
      <c r="Z35" s="502"/>
    </row>
    <row r="37" spans="1:26" x14ac:dyDescent="0.25">
      <c r="B37" s="304"/>
      <c r="C37" s="347">
        <v>2022</v>
      </c>
      <c r="D37" s="347">
        <v>2021</v>
      </c>
      <c r="E37" s="347">
        <v>2020</v>
      </c>
      <c r="F37" s="347">
        <v>2019</v>
      </c>
      <c r="G37" s="347">
        <v>2018</v>
      </c>
      <c r="H37" s="347">
        <v>2017</v>
      </c>
      <c r="I37" s="347">
        <v>2016</v>
      </c>
      <c r="J37" s="347">
        <v>2015</v>
      </c>
      <c r="K37" s="347">
        <v>2014</v>
      </c>
      <c r="L37" s="347">
        <v>2013</v>
      </c>
    </row>
    <row r="38" spans="1:26" x14ac:dyDescent="0.25">
      <c r="B38" s="348" t="s">
        <v>15</v>
      </c>
      <c r="C38" s="404">
        <f>C39</f>
        <v>17261.160854941503</v>
      </c>
      <c r="D38" s="404">
        <f t="shared" ref="D38:G38" si="10">D39</f>
        <v>16753.787542592738</v>
      </c>
      <c r="E38" s="404">
        <f t="shared" si="10"/>
        <v>16257.128316815608</v>
      </c>
      <c r="F38" s="404">
        <f t="shared" si="10"/>
        <v>15770.729597597139</v>
      </c>
      <c r="G38" s="404">
        <f t="shared" si="10"/>
        <v>14993.499099487166</v>
      </c>
      <c r="H38" s="404">
        <f>'Income Statement (Y)'!H3</f>
        <v>15338</v>
      </c>
      <c r="I38" s="404">
        <f>'Income Statement (Y)'!I3</f>
        <v>13057</v>
      </c>
      <c r="J38" s="404">
        <f>'Income Statement (Y)'!J3</f>
        <v>14163</v>
      </c>
      <c r="K38" s="404">
        <f>'Income Statement (Y)'!K3</f>
        <v>14360</v>
      </c>
      <c r="L38" s="404">
        <f>'Income Statement (Y)'!L3</f>
        <v>13021</v>
      </c>
    </row>
    <row r="39" spans="1:26" x14ac:dyDescent="0.25">
      <c r="A39" s="22" t="s">
        <v>1093</v>
      </c>
      <c r="B39" s="304" t="s">
        <v>1011</v>
      </c>
      <c r="C39" s="404">
        <f>AVERAGE(C40:C44)</f>
        <v>17261.160854941503</v>
      </c>
      <c r="D39" s="404">
        <f t="shared" ref="D39:G39" si="11">AVERAGE(D40:D44)</f>
        <v>16753.787542592738</v>
      </c>
      <c r="E39" s="404">
        <f t="shared" si="11"/>
        <v>16257.128316815608</v>
      </c>
      <c r="F39" s="404">
        <f t="shared" si="11"/>
        <v>15770.729597597139</v>
      </c>
      <c r="G39" s="404">
        <f t="shared" si="11"/>
        <v>14993.499099487166</v>
      </c>
      <c r="H39" s="404">
        <f>H$38</f>
        <v>15338</v>
      </c>
      <c r="I39" s="404">
        <f t="shared" ref="I39:L44" si="12">I$38</f>
        <v>13057</v>
      </c>
      <c r="J39" s="404">
        <f t="shared" si="12"/>
        <v>14163</v>
      </c>
      <c r="K39" s="404">
        <f t="shared" si="12"/>
        <v>14360</v>
      </c>
      <c r="L39" s="404">
        <f t="shared" si="12"/>
        <v>13021</v>
      </c>
    </row>
    <row r="40" spans="1:26" x14ac:dyDescent="0.25">
      <c r="A40" s="22" t="s">
        <v>36</v>
      </c>
      <c r="B40" s="304" t="s">
        <v>1088</v>
      </c>
      <c r="C40" s="404">
        <f>C49</f>
        <v>14681.028126217174</v>
      </c>
      <c r="D40" s="404">
        <f t="shared" ref="D40:G40" si="13">D49</f>
        <v>14535.120228461488</v>
      </c>
      <c r="E40" s="404">
        <f t="shared" si="13"/>
        <v>14383.665932307367</v>
      </c>
      <c r="F40" s="404">
        <f t="shared" si="13"/>
        <v>14226.751800889109</v>
      </c>
      <c r="G40" s="404">
        <f t="shared" si="13"/>
        <v>14064.462605330697</v>
      </c>
      <c r="H40" s="404">
        <f>H$38</f>
        <v>15338</v>
      </c>
      <c r="I40" s="404">
        <f t="shared" si="12"/>
        <v>13057</v>
      </c>
      <c r="J40" s="404">
        <f t="shared" si="12"/>
        <v>14163</v>
      </c>
      <c r="K40" s="404">
        <f t="shared" si="12"/>
        <v>14360</v>
      </c>
      <c r="L40" s="404">
        <f t="shared" si="12"/>
        <v>13021</v>
      </c>
    </row>
    <row r="41" spans="1:26" x14ac:dyDescent="0.25">
      <c r="B41" s="304" t="s">
        <v>1103</v>
      </c>
      <c r="C41" s="404">
        <f>C58</f>
        <v>18248.659602447904</v>
      </c>
      <c r="D41" s="404">
        <f t="shared" ref="D41:G41" si="14">D58</f>
        <v>17525.122806673935</v>
      </c>
      <c r="E41" s="404">
        <f t="shared" si="14"/>
        <v>16830.412627333098</v>
      </c>
      <c r="F41" s="404">
        <f t="shared" si="14"/>
        <v>16163.389713525443</v>
      </c>
      <c r="G41" s="404">
        <f t="shared" si="14"/>
        <v>14019.674234130254</v>
      </c>
      <c r="H41" s="404">
        <f t="shared" ref="H41:H44" si="15">H$38</f>
        <v>15338</v>
      </c>
      <c r="I41" s="404">
        <f t="shared" si="12"/>
        <v>13057</v>
      </c>
      <c r="J41" s="404">
        <f t="shared" si="12"/>
        <v>14163</v>
      </c>
      <c r="K41" s="404">
        <f t="shared" si="12"/>
        <v>14360</v>
      </c>
      <c r="L41" s="404">
        <f t="shared" si="12"/>
        <v>13021</v>
      </c>
    </row>
    <row r="42" spans="1:26" x14ac:dyDescent="0.25">
      <c r="B42" s="304" t="s">
        <v>1102</v>
      </c>
      <c r="C42" s="404">
        <f>C62</f>
        <v>18234.25</v>
      </c>
      <c r="D42" s="404">
        <f t="shared" ref="D42:G43" si="16">D62</f>
        <v>17655</v>
      </c>
      <c r="E42" s="404">
        <f t="shared" si="16"/>
        <v>17075.75</v>
      </c>
      <c r="F42" s="404">
        <f t="shared" si="16"/>
        <v>16496.5</v>
      </c>
      <c r="G42" s="404">
        <f t="shared" si="16"/>
        <v>15917.25</v>
      </c>
      <c r="H42" s="404">
        <f t="shared" si="15"/>
        <v>15338</v>
      </c>
      <c r="I42" s="404">
        <f t="shared" si="12"/>
        <v>13057</v>
      </c>
      <c r="J42" s="404">
        <f t="shared" si="12"/>
        <v>14163</v>
      </c>
      <c r="K42" s="404">
        <f t="shared" si="12"/>
        <v>14360</v>
      </c>
      <c r="L42" s="404">
        <f t="shared" si="12"/>
        <v>13021</v>
      </c>
    </row>
    <row r="43" spans="1:26" x14ac:dyDescent="0.25">
      <c r="B43" s="304" t="s">
        <v>1107</v>
      </c>
      <c r="C43" s="404">
        <f>C63</f>
        <v>16319.500000000116</v>
      </c>
      <c r="D43" s="404">
        <f t="shared" si="16"/>
        <v>15986.40000000014</v>
      </c>
      <c r="E43" s="404">
        <f t="shared" si="16"/>
        <v>15653.300000000047</v>
      </c>
      <c r="F43" s="404">
        <f t="shared" si="16"/>
        <v>15320.20000000007</v>
      </c>
      <c r="G43" s="404">
        <f t="shared" si="16"/>
        <v>14987.100000000093</v>
      </c>
      <c r="H43" s="404">
        <f t="shared" si="15"/>
        <v>15338</v>
      </c>
      <c r="I43" s="404">
        <f t="shared" si="12"/>
        <v>13057</v>
      </c>
      <c r="J43" s="404">
        <f t="shared" si="12"/>
        <v>14163</v>
      </c>
      <c r="K43" s="404">
        <f t="shared" si="12"/>
        <v>14360</v>
      </c>
      <c r="L43" s="404">
        <f t="shared" si="12"/>
        <v>13021</v>
      </c>
    </row>
    <row r="44" spans="1:26" x14ac:dyDescent="0.25">
      <c r="A44" s="22" t="s">
        <v>38</v>
      </c>
      <c r="B44" s="304" t="s">
        <v>1012</v>
      </c>
      <c r="C44" s="404">
        <f>C69</f>
        <v>18822.366546042333</v>
      </c>
      <c r="D44" s="404">
        <f>D69</f>
        <v>18067.294677828122</v>
      </c>
      <c r="E44" s="404">
        <f>E69</f>
        <v>17342.513024437529</v>
      </c>
      <c r="F44" s="404">
        <f>F69</f>
        <v>16646.806473571072</v>
      </c>
      <c r="G44" s="404">
        <f>G69</f>
        <v>15979.008657974784</v>
      </c>
      <c r="H44" s="404">
        <f t="shared" si="15"/>
        <v>15338</v>
      </c>
      <c r="I44" s="404">
        <f t="shared" si="12"/>
        <v>13057</v>
      </c>
      <c r="J44" s="404">
        <f t="shared" si="12"/>
        <v>14163</v>
      </c>
      <c r="K44" s="404">
        <f t="shared" si="12"/>
        <v>14360</v>
      </c>
      <c r="L44" s="404">
        <f t="shared" si="12"/>
        <v>13021</v>
      </c>
    </row>
    <row r="46" spans="1:26" x14ac:dyDescent="0.25">
      <c r="B46" s="348" t="s">
        <v>1088</v>
      </c>
      <c r="C46" s="393">
        <v>2022</v>
      </c>
      <c r="D46" s="393">
        <v>2021</v>
      </c>
      <c r="E46" s="393">
        <v>2020</v>
      </c>
      <c r="F46" s="393">
        <v>2019</v>
      </c>
      <c r="G46" s="393">
        <v>2018</v>
      </c>
      <c r="H46" s="393">
        <v>2017</v>
      </c>
      <c r="I46" s="393">
        <v>2016</v>
      </c>
      <c r="J46" s="393">
        <v>2015</v>
      </c>
      <c r="K46" s="393">
        <v>2014</v>
      </c>
      <c r="L46" s="393">
        <v>2013</v>
      </c>
    </row>
    <row r="47" spans="1:26" x14ac:dyDescent="0.25">
      <c r="B47" s="405" t="s">
        <v>1098</v>
      </c>
      <c r="C47" s="353">
        <f>'Segment Earnings'!C60</f>
        <v>18791.700000000012</v>
      </c>
      <c r="D47" s="353">
        <f>'Segment Earnings'!D60</f>
        <v>18453.600000000235</v>
      </c>
      <c r="E47" s="353">
        <f>'Segment Earnings'!E60</f>
        <v>18115.499999999931</v>
      </c>
      <c r="F47" s="353">
        <f>'Segment Earnings'!F60</f>
        <v>17777.400000000154</v>
      </c>
      <c r="G47" s="353">
        <f>'Segment Earnings'!G60</f>
        <v>17439.300000000083</v>
      </c>
      <c r="H47" s="353">
        <f>'Segment Earnings'!H60</f>
        <v>17777</v>
      </c>
      <c r="I47" s="353">
        <f>'Segment Earnings'!I60</f>
        <v>15348</v>
      </c>
      <c r="J47" s="353">
        <f>'Segment Earnings'!J60</f>
        <v>16814</v>
      </c>
      <c r="K47" s="353">
        <f>'Segment Earnings'!K60</f>
        <v>16851</v>
      </c>
      <c r="L47" s="353">
        <f>'Segment Earnings'!L60</f>
        <v>15335</v>
      </c>
    </row>
    <row r="48" spans="1:26" x14ac:dyDescent="0.25">
      <c r="B48" s="304" t="s">
        <v>1009</v>
      </c>
      <c r="C48" s="356">
        <f>C53*C47</f>
        <v>4110.6718737828378</v>
      </c>
      <c r="D48" s="356">
        <f>D53*D47</f>
        <v>3918.4797715387476</v>
      </c>
      <c r="E48" s="356">
        <f>E53*E47</f>
        <v>3731.8340676925641</v>
      </c>
      <c r="F48" s="356">
        <f>F53*F47</f>
        <v>3550.648199111045</v>
      </c>
      <c r="G48" s="356">
        <f>G53*G47</f>
        <v>3374.8373946693864</v>
      </c>
      <c r="H48" s="356">
        <f>'Income Statement (Y)'!H6</f>
        <v>2390</v>
      </c>
      <c r="I48" s="356">
        <f>'Income Statement (Y)'!I6</f>
        <v>2046</v>
      </c>
      <c r="J48" s="356">
        <f>'Income Statement (Y)'!J6</f>
        <v>2092</v>
      </c>
      <c r="K48" s="356">
        <f>'Income Statement (Y)'!K6</f>
        <v>2095</v>
      </c>
      <c r="L48" s="356">
        <f>'Income Statement (Y)'!L6</f>
        <v>1817</v>
      </c>
    </row>
    <row r="49" spans="2:12" x14ac:dyDescent="0.25">
      <c r="B49" s="304" t="s">
        <v>1010</v>
      </c>
      <c r="C49" s="353">
        <f>C47-C48</f>
        <v>14681.028126217174</v>
      </c>
      <c r="D49" s="353">
        <f t="shared" ref="D49:K49" si="17">D47-D48</f>
        <v>14535.120228461488</v>
      </c>
      <c r="E49" s="353">
        <f t="shared" si="17"/>
        <v>14383.665932307367</v>
      </c>
      <c r="F49" s="353">
        <f t="shared" si="17"/>
        <v>14226.751800889109</v>
      </c>
      <c r="G49" s="353">
        <f t="shared" si="17"/>
        <v>14064.462605330697</v>
      </c>
      <c r="H49" s="353">
        <f t="shared" si="17"/>
        <v>15387</v>
      </c>
      <c r="I49" s="353">
        <f t="shared" si="17"/>
        <v>13302</v>
      </c>
      <c r="J49" s="353">
        <f t="shared" si="17"/>
        <v>14722</v>
      </c>
      <c r="K49" s="353">
        <f t="shared" si="17"/>
        <v>14756</v>
      </c>
      <c r="L49" s="353">
        <f t="shared" ref="L49" si="18">L47-L48</f>
        <v>13518</v>
      </c>
    </row>
    <row r="50" spans="2:12" x14ac:dyDescent="0.25">
      <c r="C50" s="400"/>
      <c r="D50" s="400"/>
      <c r="E50" s="400"/>
      <c r="F50" s="400"/>
      <c r="G50" s="400"/>
      <c r="H50" s="400"/>
      <c r="I50" s="400"/>
      <c r="J50" s="400"/>
      <c r="K50" s="400"/>
      <c r="L50" s="400"/>
    </row>
    <row r="51" spans="2:12" x14ac:dyDescent="0.25">
      <c r="B51" s="304"/>
      <c r="C51" s="393">
        <v>2022</v>
      </c>
      <c r="D51" s="393">
        <v>2021</v>
      </c>
      <c r="E51" s="393">
        <v>2020</v>
      </c>
      <c r="F51" s="393">
        <v>2019</v>
      </c>
      <c r="G51" s="393">
        <v>2018</v>
      </c>
      <c r="H51" s="393">
        <v>2017</v>
      </c>
      <c r="I51" s="393">
        <v>2016</v>
      </c>
      <c r="J51" s="393">
        <v>2015</v>
      </c>
      <c r="K51" s="393">
        <v>2014</v>
      </c>
      <c r="L51" s="393">
        <v>2013</v>
      </c>
    </row>
    <row r="52" spans="2:12" x14ac:dyDescent="0.25">
      <c r="B52" s="304" t="s">
        <v>1096</v>
      </c>
      <c r="C52" s="357">
        <f>C51*$C$55+$C$56</f>
        <v>0.17948673161177986</v>
      </c>
      <c r="D52" s="357">
        <f>D51*$C$55+$C$56</f>
        <v>0.17515044696576254</v>
      </c>
      <c r="E52" s="357">
        <f>E51*$C$55+$C$56</f>
        <v>0.170814162319747</v>
      </c>
      <c r="F52" s="357">
        <f>F51*$C$55+$C$56</f>
        <v>0.16647787767372968</v>
      </c>
      <c r="G52" s="357">
        <f>G51*$C$55+$C$56</f>
        <v>0.16214159302771236</v>
      </c>
      <c r="H52" s="357">
        <f>'Income Statement (Y)'!H6/'Income Statement (Y)'!H3</f>
        <v>0.15582214108749512</v>
      </c>
      <c r="I52" s="357">
        <f>'Income Statement (Y)'!I6/'Income Statement (Y)'!I3</f>
        <v>0.15669755686604886</v>
      </c>
      <c r="J52" s="357">
        <f>'Income Statement (Y)'!J6/'Income Statement (Y)'!J3</f>
        <v>0.14770881875308903</v>
      </c>
      <c r="K52" s="357">
        <f>'Income Statement (Y)'!K6/'Income Statement (Y)'!K3</f>
        <v>0.14589136490250695</v>
      </c>
      <c r="L52" s="357">
        <f>'Income Statement (Y)'!L6/'Income Statement (Y)'!L3</f>
        <v>0.13954381383918285</v>
      </c>
    </row>
    <row r="53" spans="2:12" x14ac:dyDescent="0.25">
      <c r="B53" s="304" t="s">
        <v>1097</v>
      </c>
      <c r="C53" s="357">
        <f>C52/(1-C52)</f>
        <v>0.21874933474793848</v>
      </c>
      <c r="D53" s="357">
        <f t="shared" ref="D53:G53" si="19">D52/(1-D52)</f>
        <v>0.21234229481178185</v>
      </c>
      <c r="E53" s="357">
        <f t="shared" si="19"/>
        <v>0.20600226699194493</v>
      </c>
      <c r="F53" s="357">
        <f t="shared" si="19"/>
        <v>0.19972820542435982</v>
      </c>
      <c r="G53" s="357">
        <f t="shared" si="19"/>
        <v>0.1935190858961868</v>
      </c>
      <c r="H53" s="357">
        <f>H51*$C$55+$C$56</f>
        <v>0.15780530838169682</v>
      </c>
      <c r="I53" s="357">
        <f>I51*$C$55+$C$56</f>
        <v>0.1534690237356795</v>
      </c>
      <c r="J53" s="357">
        <f>J51*$C$55+$C$56</f>
        <v>0.14913273908966396</v>
      </c>
      <c r="K53" s="357">
        <f>K51*$C$55+$C$56</f>
        <v>0.14479645444364664</v>
      </c>
      <c r="L53" s="357">
        <f>L51*$C$55+$C$56</f>
        <v>0.14046016979762932</v>
      </c>
    </row>
    <row r="55" spans="2:12" x14ac:dyDescent="0.25">
      <c r="B55" s="304" t="s">
        <v>1004</v>
      </c>
      <c r="C55" s="406">
        <f>SLOPE(H52:L52,H51:L51)</f>
        <v>4.336284646016644E-3</v>
      </c>
    </row>
    <row r="56" spans="2:12" x14ac:dyDescent="0.25">
      <c r="B56" s="304" t="s">
        <v>1005</v>
      </c>
      <c r="C56" s="304">
        <f>INTERCEPT(H52:L52,H51:L51)</f>
        <v>-8.5884808226338745</v>
      </c>
    </row>
    <row r="58" spans="2:12" x14ac:dyDescent="0.25">
      <c r="B58" s="348" t="s">
        <v>1108</v>
      </c>
      <c r="C58" s="353">
        <f t="shared" ref="C58:F58" si="20">D44*C59</f>
        <v>18248.659602447904</v>
      </c>
      <c r="D58" s="353">
        <f t="shared" si="20"/>
        <v>17525.122806673935</v>
      </c>
      <c r="E58" s="353">
        <f t="shared" si="20"/>
        <v>16830.412627333098</v>
      </c>
      <c r="F58" s="353">
        <f t="shared" si="20"/>
        <v>16163.389713525443</v>
      </c>
      <c r="G58" s="353">
        <f>H44*G59</f>
        <v>14019.674234130254</v>
      </c>
      <c r="H58" s="496"/>
      <c r="I58" s="496"/>
      <c r="J58" s="496"/>
      <c r="K58" s="496"/>
    </row>
    <row r="59" spans="2:12" x14ac:dyDescent="0.25">
      <c r="B59" s="304" t="s">
        <v>1112</v>
      </c>
      <c r="C59" s="407">
        <f t="shared" ref="C59:K59" si="21">C49/D49</f>
        <v>1.0100383000252025</v>
      </c>
      <c r="D59" s="407">
        <f t="shared" si="21"/>
        <v>1.0105296032921578</v>
      </c>
      <c r="E59" s="407">
        <f t="shared" si="21"/>
        <v>1.0110295121201489</v>
      </c>
      <c r="F59" s="407">
        <f t="shared" si="21"/>
        <v>1.0115389546058378</v>
      </c>
      <c r="G59" s="407">
        <f t="shared" si="21"/>
        <v>0.91404839184575915</v>
      </c>
      <c r="H59" s="407">
        <f t="shared" si="21"/>
        <v>1.1567433468651331</v>
      </c>
      <c r="I59" s="407">
        <f t="shared" si="21"/>
        <v>0.90354571389756821</v>
      </c>
      <c r="J59" s="407">
        <f t="shared" si="21"/>
        <v>0.99769585253456217</v>
      </c>
      <c r="K59" s="407">
        <f t="shared" si="21"/>
        <v>1.0915815949104897</v>
      </c>
    </row>
    <row r="61" spans="2:12" x14ac:dyDescent="0.25">
      <c r="B61" s="304"/>
      <c r="C61" s="408">
        <v>2022</v>
      </c>
      <c r="D61" s="408">
        <v>2021</v>
      </c>
      <c r="E61" s="408">
        <v>2020</v>
      </c>
      <c r="F61" s="408">
        <v>2019</v>
      </c>
      <c r="G61" s="408">
        <v>2018</v>
      </c>
      <c r="H61" s="408">
        <v>2017</v>
      </c>
      <c r="I61" s="408">
        <v>2016</v>
      </c>
      <c r="J61" s="408">
        <v>2015</v>
      </c>
      <c r="K61" s="408">
        <v>2014</v>
      </c>
      <c r="L61" s="408">
        <v>2013</v>
      </c>
    </row>
    <row r="62" spans="2:12" x14ac:dyDescent="0.25">
      <c r="B62" s="348" t="s">
        <v>1099</v>
      </c>
      <c r="C62" s="353">
        <f>D62+$C$64</f>
        <v>18234.25</v>
      </c>
      <c r="D62" s="353">
        <f>E62+$C$64</f>
        <v>17655</v>
      </c>
      <c r="E62" s="353">
        <f>F62+$C$64</f>
        <v>17075.75</v>
      </c>
      <c r="F62" s="353">
        <f>G62+$C$64</f>
        <v>16496.5</v>
      </c>
      <c r="G62" s="353">
        <f>'Income Statement (Y)'!$H$3+Predictions!$C$64</f>
        <v>15917.25</v>
      </c>
      <c r="H62" s="353">
        <f>'Income Statement (Y)'!H3</f>
        <v>15338</v>
      </c>
      <c r="I62" s="353">
        <f>'Income Statement (Y)'!I3</f>
        <v>13057</v>
      </c>
      <c r="J62" s="353">
        <f>'Income Statement (Y)'!J3</f>
        <v>14163</v>
      </c>
      <c r="K62" s="353">
        <f>'Income Statement (Y)'!K3</f>
        <v>14360</v>
      </c>
      <c r="L62" s="353">
        <f>'Income Statement (Y)'!L3</f>
        <v>13021</v>
      </c>
    </row>
    <row r="63" spans="2:12" x14ac:dyDescent="0.25">
      <c r="B63" s="348" t="s">
        <v>1106</v>
      </c>
      <c r="C63" s="353">
        <f t="shared" ref="C63:F63" si="22">$C$65*C61+$C$66</f>
        <v>16319.500000000116</v>
      </c>
      <c r="D63" s="353">
        <f t="shared" si="22"/>
        <v>15986.40000000014</v>
      </c>
      <c r="E63" s="353">
        <f t="shared" si="22"/>
        <v>15653.300000000047</v>
      </c>
      <c r="F63" s="353">
        <f t="shared" si="22"/>
        <v>15320.20000000007</v>
      </c>
      <c r="G63" s="353">
        <f>$C$65*G61+$C$66</f>
        <v>14987.100000000093</v>
      </c>
      <c r="H63" s="353">
        <f>H62</f>
        <v>15338</v>
      </c>
      <c r="I63" s="353">
        <f t="shared" ref="I63:L63" si="23">I62</f>
        <v>13057</v>
      </c>
      <c r="J63" s="353">
        <f t="shared" si="23"/>
        <v>14163</v>
      </c>
      <c r="K63" s="353">
        <f t="shared" si="23"/>
        <v>14360</v>
      </c>
      <c r="L63" s="353">
        <f t="shared" si="23"/>
        <v>13021</v>
      </c>
    </row>
    <row r="64" spans="2:12" x14ac:dyDescent="0.25">
      <c r="B64" s="304" t="s">
        <v>1104</v>
      </c>
      <c r="C64" s="304">
        <f>(H62-L62)/4</f>
        <v>579.25</v>
      </c>
    </row>
    <row r="65" spans="2:26" x14ac:dyDescent="0.25">
      <c r="B65" s="304" t="s">
        <v>1105</v>
      </c>
      <c r="C65" s="304">
        <f>SLOPE(H62:L62,H61:L61)</f>
        <v>333.1</v>
      </c>
    </row>
    <row r="66" spans="2:26" x14ac:dyDescent="0.25">
      <c r="B66" s="304" t="s">
        <v>1113</v>
      </c>
      <c r="C66" s="304">
        <f>INTERCEPT(H63:L63, H61:L61)</f>
        <v>-657208.69999999995</v>
      </c>
    </row>
    <row r="68" spans="2:26" x14ac:dyDescent="0.25">
      <c r="C68" s="409">
        <v>2022</v>
      </c>
      <c r="D68" s="408">
        <v>2021</v>
      </c>
      <c r="E68" s="408">
        <v>2020</v>
      </c>
      <c r="F68" s="408">
        <v>2019</v>
      </c>
      <c r="G68" s="408">
        <v>2018</v>
      </c>
      <c r="H68" s="408">
        <v>2017</v>
      </c>
      <c r="I68" s="408">
        <v>2016</v>
      </c>
      <c r="J68" s="408">
        <v>2015</v>
      </c>
      <c r="K68" s="408">
        <v>2014</v>
      </c>
      <c r="L68" s="408">
        <v>2013</v>
      </c>
    </row>
    <row r="69" spans="2:26" x14ac:dyDescent="0.25">
      <c r="B69" s="348" t="s">
        <v>1100</v>
      </c>
      <c r="C69" s="353">
        <f t="shared" ref="C69:F69" si="24">D69*$C$70</f>
        <v>18822.366546042333</v>
      </c>
      <c r="D69" s="377">
        <f t="shared" si="24"/>
        <v>18067.294677828122</v>
      </c>
      <c r="E69" s="353">
        <f t="shared" si="24"/>
        <v>17342.513024437529</v>
      </c>
      <c r="F69" s="353">
        <f t="shared" si="24"/>
        <v>16646.806473571072</v>
      </c>
      <c r="G69" s="353">
        <f>H69*$C$70</f>
        <v>15979.008657974784</v>
      </c>
      <c r="H69" s="353">
        <f>H62</f>
        <v>15338</v>
      </c>
      <c r="I69" s="353">
        <f>I62</f>
        <v>13057</v>
      </c>
      <c r="J69" s="353">
        <f>J62</f>
        <v>14163</v>
      </c>
      <c r="K69" s="353">
        <f>K62</f>
        <v>14360</v>
      </c>
      <c r="L69" s="353">
        <f>L62</f>
        <v>13021</v>
      </c>
    </row>
    <row r="70" spans="2:26" x14ac:dyDescent="0.25">
      <c r="B70" s="304" t="s">
        <v>1110</v>
      </c>
      <c r="C70" s="358">
        <f>C71</f>
        <v>1.0417921931134948</v>
      </c>
    </row>
    <row r="71" spans="2:26" x14ac:dyDescent="0.25">
      <c r="B71" s="405" t="s">
        <v>1109</v>
      </c>
      <c r="C71" s="363">
        <f>(H69/L69)^(1/4)</f>
        <v>1.0417921931134948</v>
      </c>
      <c r="D71" s="43"/>
      <c r="E71" s="43"/>
      <c r="F71" s="43"/>
      <c r="G71" s="43"/>
      <c r="H71" s="43"/>
      <c r="I71" s="43"/>
      <c r="J71" s="43"/>
      <c r="K71" s="43"/>
    </row>
    <row r="72" spans="2:26" x14ac:dyDescent="0.25">
      <c r="B72" s="405" t="s">
        <v>1011</v>
      </c>
      <c r="C72" s="363">
        <f>AVERAGE(H74:K74)</f>
        <v>1.0464299965997206</v>
      </c>
      <c r="D72" s="43"/>
      <c r="E72" s="43"/>
      <c r="F72" s="43"/>
      <c r="G72" s="43"/>
      <c r="H72" s="43"/>
      <c r="I72" s="43"/>
      <c r="J72" s="43"/>
      <c r="K72" s="43"/>
    </row>
    <row r="73" spans="2:26" x14ac:dyDescent="0.25">
      <c r="B73" s="399"/>
      <c r="C73" s="43"/>
      <c r="D73" s="43"/>
      <c r="E73" s="43"/>
      <c r="F73" s="43"/>
      <c r="G73" s="43"/>
      <c r="H73" s="43"/>
      <c r="I73" s="43"/>
      <c r="J73" s="43"/>
      <c r="K73" s="43"/>
    </row>
    <row r="74" spans="2:26" x14ac:dyDescent="0.25">
      <c r="B74" s="405" t="s">
        <v>1111</v>
      </c>
      <c r="C74" s="503"/>
      <c r="D74" s="504"/>
      <c r="E74" s="504"/>
      <c r="F74" s="504"/>
      <c r="G74" s="505"/>
      <c r="H74" s="363">
        <f>H69/I69</f>
        <v>1.1746955655969977</v>
      </c>
      <c r="I74" s="363">
        <f t="shared" ref="I74:K74" si="25">I69/J69</f>
        <v>0.92190920002824261</v>
      </c>
      <c r="J74" s="363">
        <f t="shared" si="25"/>
        <v>0.98628133704735377</v>
      </c>
      <c r="K74" s="363">
        <f t="shared" si="25"/>
        <v>1.1028338837262883</v>
      </c>
    </row>
    <row r="75" spans="2:26" x14ac:dyDescent="0.25">
      <c r="B75" s="399"/>
      <c r="C75" s="43"/>
      <c r="D75" s="43"/>
      <c r="E75" s="43"/>
      <c r="F75" s="43"/>
      <c r="G75" s="43"/>
      <c r="H75" s="43"/>
      <c r="I75" s="43"/>
      <c r="J75" s="43"/>
      <c r="K75" s="43"/>
    </row>
    <row r="76" spans="2:26" ht="18.75" x14ac:dyDescent="0.3">
      <c r="B76" s="502" t="s">
        <v>69</v>
      </c>
      <c r="C76" s="502"/>
      <c r="D76" s="502"/>
      <c r="E76" s="502"/>
      <c r="F76" s="502"/>
      <c r="G76" s="502"/>
      <c r="H76" s="502"/>
      <c r="I76" s="502"/>
      <c r="J76" s="502"/>
      <c r="K76" s="502"/>
      <c r="L76" s="502"/>
      <c r="M76" s="502"/>
      <c r="N76" s="502"/>
      <c r="O76" s="502"/>
      <c r="P76" s="502"/>
      <c r="Q76" s="502"/>
      <c r="R76" s="502"/>
      <c r="S76" s="502"/>
      <c r="T76" s="502"/>
      <c r="U76" s="502"/>
      <c r="V76" s="502"/>
      <c r="W76" s="502"/>
      <c r="X76" s="502"/>
      <c r="Y76" s="502"/>
      <c r="Z76" s="502"/>
    </row>
    <row r="78" spans="2:26" x14ac:dyDescent="0.25">
      <c r="C78" s="393">
        <v>2017</v>
      </c>
      <c r="D78" s="393">
        <v>2016</v>
      </c>
      <c r="E78" s="393">
        <v>2015</v>
      </c>
      <c r="F78" s="393">
        <v>2014</v>
      </c>
      <c r="G78" s="393">
        <v>2013</v>
      </c>
      <c r="H78" s="393" t="s">
        <v>862</v>
      </c>
    </row>
    <row r="79" spans="2:26" x14ac:dyDescent="0.25">
      <c r="B79" s="304" t="s">
        <v>1015</v>
      </c>
      <c r="C79" s="357">
        <f>'N2 Income Tax'!G3/'N2 Income Tax'!G$5</f>
        <v>0.52304439746300213</v>
      </c>
      <c r="D79" s="357">
        <f>'N2 Income Tax'!H3/'N2 Income Tax'!H$5</f>
        <v>0.51554404145077726</v>
      </c>
      <c r="E79" s="357">
        <f>'N2 Income Tax'!I3/'N2 Income Tax'!I$5</f>
        <v>0.62962962962962965</v>
      </c>
      <c r="F79" s="357">
        <f>'N2 Income Tax'!J3/'N2 Income Tax'!J$5</f>
        <v>0.57806080525883319</v>
      </c>
      <c r="G79" s="357">
        <f>'N2 Income Tax'!K3/'N2 Income Tax'!K$5</f>
        <v>0.49929211892402076</v>
      </c>
      <c r="H79" s="357">
        <f>SUM('N2 Income Tax'!G3:K3)/SUM('N2 Income Tax'!$G$5:$K$5)</f>
        <v>0.54925043686195163</v>
      </c>
    </row>
    <row r="80" spans="2:26" x14ac:dyDescent="0.25">
      <c r="B80" s="304" t="s">
        <v>780</v>
      </c>
      <c r="C80" s="357">
        <f>'N2 Income Tax'!G4/'N2 Income Tax'!G$5</f>
        <v>0.47695560253699787</v>
      </c>
      <c r="D80" s="357">
        <f>'N2 Income Tax'!H4/'N2 Income Tax'!H$5</f>
        <v>0.4844559585492228</v>
      </c>
      <c r="E80" s="357">
        <f>'N2 Income Tax'!I4/'N2 Income Tax'!I$5</f>
        <v>0.37037037037037035</v>
      </c>
      <c r="F80" s="357">
        <f>'N2 Income Tax'!J4/'N2 Income Tax'!J$5</f>
        <v>0.42193919474116681</v>
      </c>
      <c r="G80" s="357">
        <f>'N2 Income Tax'!K4/'N2 Income Tax'!K$5</f>
        <v>0.50070788107597919</v>
      </c>
      <c r="H80" s="357">
        <f>SUM('N2 Income Tax'!G4:K4)/SUM('N2 Income Tax'!$G$5:$K$5)</f>
        <v>0.45074956313804837</v>
      </c>
    </row>
    <row r="85" spans="2:26" ht="18.75" x14ac:dyDescent="0.3">
      <c r="B85" s="500" t="s">
        <v>1307</v>
      </c>
      <c r="C85" s="501"/>
      <c r="D85" s="501"/>
      <c r="E85" s="501"/>
      <c r="F85" s="501"/>
      <c r="G85" s="501"/>
      <c r="H85" s="501"/>
      <c r="I85" s="501"/>
      <c r="J85" s="501"/>
      <c r="K85" s="501"/>
      <c r="L85" s="501"/>
      <c r="M85" s="501"/>
      <c r="N85" s="501"/>
      <c r="O85" s="501"/>
      <c r="P85" s="501"/>
      <c r="Q85" s="501"/>
      <c r="R85" s="501"/>
      <c r="S85" s="501"/>
      <c r="T85" s="501"/>
      <c r="U85" s="501"/>
      <c r="V85" s="501"/>
      <c r="W85" s="501"/>
      <c r="X85" s="501"/>
      <c r="Y85" s="501"/>
      <c r="Z85" s="501"/>
    </row>
    <row r="87" spans="2:26" ht="21" x14ac:dyDescent="0.35">
      <c r="B87" s="495" t="s">
        <v>1333</v>
      </c>
      <c r="C87" s="495"/>
      <c r="D87" s="495"/>
      <c r="E87" s="495"/>
      <c r="F87" s="495"/>
      <c r="G87" s="495"/>
      <c r="H87" s="495"/>
      <c r="I87" s="495"/>
      <c r="J87" s="495"/>
      <c r="K87" s="495"/>
      <c r="L87" s="495"/>
      <c r="M87" s="495"/>
      <c r="N87" s="495"/>
      <c r="O87" s="495"/>
      <c r="P87" s="495"/>
      <c r="Q87" s="495"/>
      <c r="R87" s="495"/>
      <c r="S87" s="495"/>
      <c r="T87" s="495"/>
      <c r="U87" s="495"/>
      <c r="V87" s="495"/>
      <c r="W87" s="495"/>
      <c r="X87" s="495"/>
      <c r="Y87" s="495"/>
      <c r="Z87" s="495"/>
    </row>
    <row r="88" spans="2:26" ht="15.75" thickBot="1" x14ac:dyDescent="0.3">
      <c r="B88" s="38"/>
    </row>
    <row r="89" spans="2:26" ht="15.75" thickBot="1" x14ac:dyDescent="0.3">
      <c r="B89" s="422" t="s">
        <v>1356</v>
      </c>
      <c r="C89" s="440">
        <v>1</v>
      </c>
    </row>
    <row r="90" spans="2:26" x14ac:dyDescent="0.25">
      <c r="B90" s="38" t="s">
        <v>1358</v>
      </c>
    </row>
    <row r="91" spans="2:26" x14ac:dyDescent="0.25">
      <c r="B91" s="38"/>
    </row>
    <row r="92" spans="2:26" x14ac:dyDescent="0.25">
      <c r="B92" s="38"/>
    </row>
    <row r="93" spans="2:26" x14ac:dyDescent="0.25">
      <c r="B93" s="38" t="s">
        <v>296</v>
      </c>
    </row>
    <row r="94" spans="2:26" x14ac:dyDescent="0.25">
      <c r="B94" s="38"/>
    </row>
    <row r="95" spans="2:26" ht="15.75" thickBot="1" x14ac:dyDescent="0.3">
      <c r="B95" s="38"/>
      <c r="C95" s="426">
        <v>2022</v>
      </c>
      <c r="D95" s="426">
        <v>2021</v>
      </c>
      <c r="E95" s="426">
        <v>2020</v>
      </c>
      <c r="F95" s="426">
        <v>2019</v>
      </c>
      <c r="G95" s="426">
        <v>2018</v>
      </c>
      <c r="N95" s="405" t="s">
        <v>1341</v>
      </c>
      <c r="O95" s="347">
        <v>2022</v>
      </c>
      <c r="P95" s="347">
        <v>2021</v>
      </c>
      <c r="Q95" s="347">
        <v>2020</v>
      </c>
      <c r="R95" s="347">
        <v>2019</v>
      </c>
      <c r="S95" s="347">
        <v>2018</v>
      </c>
      <c r="T95" s="347">
        <v>2017</v>
      </c>
    </row>
    <row r="96" spans="2:26" ht="15.75" thickBot="1" x14ac:dyDescent="0.3">
      <c r="B96" s="432" t="s">
        <v>1029</v>
      </c>
      <c r="C96" s="433">
        <f>C97*O96+C98*O97</f>
        <v>1</v>
      </c>
      <c r="D96" s="433">
        <f t="shared" ref="D96:G96" si="26">D97*P96+D98*P97</f>
        <v>1</v>
      </c>
      <c r="E96" s="433">
        <f t="shared" si="26"/>
        <v>1</v>
      </c>
      <c r="F96" s="433">
        <f t="shared" si="26"/>
        <v>1</v>
      </c>
      <c r="G96" s="434">
        <f t="shared" si="26"/>
        <v>0.99999999999999989</v>
      </c>
      <c r="I96" s="396"/>
      <c r="N96" s="405" t="s">
        <v>1117</v>
      </c>
      <c r="O96" s="357">
        <f t="shared" ref="O96:T96" si="27">O101/O100</f>
        <v>0.56123963273686728</v>
      </c>
      <c r="P96" s="357">
        <f t="shared" si="27"/>
        <v>0.55700708445103153</v>
      </c>
      <c r="Q96" s="357">
        <f t="shared" si="27"/>
        <v>0.55276624233094329</v>
      </c>
      <c r="R96" s="357">
        <f t="shared" si="27"/>
        <v>0.54851770888485019</v>
      </c>
      <c r="S96" s="357">
        <f t="shared" si="27"/>
        <v>0.54426209107968793</v>
      </c>
      <c r="T96" s="357">
        <f t="shared" si="27"/>
        <v>0.54</v>
      </c>
    </row>
    <row r="97" spans="2:20" x14ac:dyDescent="0.25">
      <c r="B97" s="427" t="s">
        <v>1117</v>
      </c>
      <c r="C97" s="428">
        <f t="shared" ref="C97:G98" si="28">O101/C15</f>
        <v>1</v>
      </c>
      <c r="D97" s="428">
        <f t="shared" si="28"/>
        <v>1</v>
      </c>
      <c r="E97" s="428">
        <f t="shared" si="28"/>
        <v>1</v>
      </c>
      <c r="F97" s="428">
        <f t="shared" si="28"/>
        <v>1</v>
      </c>
      <c r="G97" s="428">
        <f t="shared" si="28"/>
        <v>1</v>
      </c>
      <c r="N97" s="304" t="s">
        <v>780</v>
      </c>
      <c r="O97" s="357">
        <f t="shared" ref="O97:T97" si="29">O102/O100</f>
        <v>0.43876036726313283</v>
      </c>
      <c r="P97" s="357">
        <f t="shared" si="29"/>
        <v>0.44299291554896852</v>
      </c>
      <c r="Q97" s="357">
        <f t="shared" si="29"/>
        <v>0.44723375766905682</v>
      </c>
      <c r="R97" s="357">
        <f t="shared" si="29"/>
        <v>0.45148229111514981</v>
      </c>
      <c r="S97" s="357">
        <f t="shared" si="29"/>
        <v>0.45573790892031196</v>
      </c>
      <c r="T97" s="357">
        <f t="shared" si="29"/>
        <v>0.46000000000000008</v>
      </c>
    </row>
    <row r="98" spans="2:20" x14ac:dyDescent="0.25">
      <c r="B98" s="304" t="s">
        <v>780</v>
      </c>
      <c r="C98" s="397">
        <f t="shared" si="28"/>
        <v>1</v>
      </c>
      <c r="D98" s="397">
        <f t="shared" si="28"/>
        <v>1</v>
      </c>
      <c r="E98" s="397">
        <f t="shared" si="28"/>
        <v>1</v>
      </c>
      <c r="F98" s="397">
        <f t="shared" si="28"/>
        <v>1</v>
      </c>
      <c r="G98" s="397">
        <f t="shared" si="28"/>
        <v>1</v>
      </c>
      <c r="I98" s="396"/>
      <c r="J98" s="396"/>
      <c r="K98" s="396"/>
      <c r="L98" s="396"/>
    </row>
    <row r="99" spans="2:20" x14ac:dyDescent="0.25">
      <c r="B99" s="38"/>
      <c r="O99" s="347">
        <v>2022</v>
      </c>
      <c r="P99" s="347">
        <v>2021</v>
      </c>
      <c r="Q99" s="347">
        <v>2020</v>
      </c>
      <c r="R99" s="347">
        <v>2019</v>
      </c>
      <c r="S99" s="347">
        <v>2018</v>
      </c>
      <c r="T99" s="347">
        <v>2017</v>
      </c>
    </row>
    <row r="100" spans="2:20" x14ac:dyDescent="0.25">
      <c r="B100" s="405" t="s">
        <v>296</v>
      </c>
      <c r="C100" s="347">
        <v>2022</v>
      </c>
      <c r="D100" s="347">
        <v>2021</v>
      </c>
      <c r="E100" s="347">
        <v>2020</v>
      </c>
      <c r="F100" s="347">
        <v>2019</v>
      </c>
      <c r="G100" s="347">
        <v>2018</v>
      </c>
      <c r="H100" s="347">
        <v>2017</v>
      </c>
      <c r="I100" s="347">
        <v>2016</v>
      </c>
      <c r="N100" s="405" t="s">
        <v>296</v>
      </c>
      <c r="O100" s="353">
        <f>O101+O102</f>
        <v>21752.518697891312</v>
      </c>
      <c r="P100" s="353">
        <f t="shared" ref="P100:T100" si="30">P101+P102</f>
        <v>21477.785899500712</v>
      </c>
      <c r="Q100" s="353">
        <f t="shared" si="30"/>
        <v>21208.065714464152</v>
      </c>
      <c r="R100" s="353">
        <f t="shared" si="30"/>
        <v>20943.259070749824</v>
      </c>
      <c r="S100" s="353">
        <f t="shared" si="30"/>
        <v>20683.268880457508</v>
      </c>
      <c r="T100" s="353">
        <f t="shared" si="30"/>
        <v>20428</v>
      </c>
    </row>
    <row r="101" spans="2:20" x14ac:dyDescent="0.25">
      <c r="B101" s="405" t="s">
        <v>1117</v>
      </c>
      <c r="C101" s="425">
        <f>C19</f>
        <v>0.56123963273686728</v>
      </c>
      <c r="D101" s="425">
        <f t="shared" ref="D101:I101" si="31">D19</f>
        <v>0.55700708445103153</v>
      </c>
      <c r="E101" s="425">
        <f t="shared" si="31"/>
        <v>0.55276624233094329</v>
      </c>
      <c r="F101" s="425">
        <f t="shared" si="31"/>
        <v>0.54851770888485019</v>
      </c>
      <c r="G101" s="425">
        <f t="shared" si="31"/>
        <v>0.54426209107968793</v>
      </c>
      <c r="H101" s="425">
        <f t="shared" si="31"/>
        <v>0.54</v>
      </c>
      <c r="I101" s="425">
        <f t="shared" si="31"/>
        <v>0.54</v>
      </c>
      <c r="N101" s="405" t="s">
        <v>1117</v>
      </c>
      <c r="O101" s="353">
        <f t="shared" ref="O101:R101" si="32">P101*(1+O108)</f>
        <v>12208.375605106357</v>
      </c>
      <c r="P101" s="353">
        <f t="shared" si="32"/>
        <v>11963.278904344366</v>
      </c>
      <c r="Q101" s="353">
        <f t="shared" si="32"/>
        <v>11723.102792092061</v>
      </c>
      <c r="R101" s="353">
        <f t="shared" si="32"/>
        <v>11487.74848206955</v>
      </c>
      <c r="S101" s="353">
        <f>T101*(1+S108)</f>
        <v>11257.11917124124</v>
      </c>
      <c r="T101" s="353">
        <f>H15</f>
        <v>11031.12</v>
      </c>
    </row>
    <row r="102" spans="2:20" x14ac:dyDescent="0.25">
      <c r="B102" s="304" t="s">
        <v>780</v>
      </c>
      <c r="C102" s="425">
        <f>C20</f>
        <v>0.43876036726313283</v>
      </c>
      <c r="D102" s="425">
        <f t="shared" ref="D102:I102" si="33">D20</f>
        <v>0.44299291554896852</v>
      </c>
      <c r="E102" s="425">
        <f t="shared" si="33"/>
        <v>0.44723375766905682</v>
      </c>
      <c r="F102" s="425">
        <f t="shared" si="33"/>
        <v>0.45148229111514981</v>
      </c>
      <c r="G102" s="425">
        <f t="shared" si="33"/>
        <v>0.45573790892031196</v>
      </c>
      <c r="H102" s="425">
        <f t="shared" si="33"/>
        <v>0.46</v>
      </c>
      <c r="I102" s="425">
        <f t="shared" si="33"/>
        <v>0.46</v>
      </c>
      <c r="N102" s="304" t="s">
        <v>780</v>
      </c>
      <c r="O102" s="353">
        <f t="shared" ref="O102:R102" si="34">P102*(1+O112)</f>
        <v>9544.143092784956</v>
      </c>
      <c r="P102" s="353">
        <f t="shared" si="34"/>
        <v>9514.5069951563455</v>
      </c>
      <c r="Q102" s="353">
        <f t="shared" si="34"/>
        <v>9484.9629223720931</v>
      </c>
      <c r="R102" s="353">
        <f t="shared" si="34"/>
        <v>9455.5105886802739</v>
      </c>
      <c r="S102" s="353">
        <f>T102*(1+S112)</f>
        <v>9426.1497092162663</v>
      </c>
      <c r="T102" s="353">
        <f>H16</f>
        <v>9396.880000000001</v>
      </c>
    </row>
    <row r="104" spans="2:20" x14ac:dyDescent="0.25">
      <c r="N104" s="22" t="s">
        <v>1339</v>
      </c>
    </row>
    <row r="105" spans="2:20" x14ac:dyDescent="0.25">
      <c r="C105" s="347">
        <v>2022</v>
      </c>
      <c r="D105" s="347">
        <v>2021</v>
      </c>
      <c r="E105" s="347">
        <v>2020</v>
      </c>
      <c r="F105" s="347">
        <v>2019</v>
      </c>
      <c r="G105" s="347">
        <v>2018</v>
      </c>
      <c r="O105" s="347">
        <v>2022</v>
      </c>
      <c r="P105" s="347">
        <v>2021</v>
      </c>
      <c r="Q105" s="347">
        <v>2020</v>
      </c>
      <c r="R105" s="347">
        <v>2019</v>
      </c>
      <c r="S105" s="347">
        <v>2018</v>
      </c>
    </row>
    <row r="106" spans="2:20" x14ac:dyDescent="0.25">
      <c r="B106" s="304" t="s">
        <v>1317</v>
      </c>
      <c r="C106" s="423">
        <f>'Income Statement (Y)'!C2/'Income Statement (Y)'!D2-1</f>
        <v>2.4068240864059787E-2</v>
      </c>
      <c r="D106" s="423">
        <f>'Income Statement (Y)'!D2/'Income Statement (Y)'!E2-1</f>
        <v>2.3954746942748573E-2</v>
      </c>
      <c r="E106" s="423">
        <f>'Income Statement (Y)'!E2/'Income Statement (Y)'!F2-1</f>
        <v>2.3848606306054787E-2</v>
      </c>
      <c r="F106" s="423">
        <f>'Income Statement (Y)'!F2/'Income Statement (Y)'!G2-1</f>
        <v>2.3749961580928458E-2</v>
      </c>
      <c r="G106" s="423">
        <f>'Income Statement (Y)'!G2/'Income Statement (Y)'!H2-1</f>
        <v>1.3564179049199376E-2</v>
      </c>
      <c r="I106" s="411"/>
      <c r="N106" s="304" t="s">
        <v>1317</v>
      </c>
      <c r="O106" s="423">
        <f>O100/P100</f>
        <v>1.01279148603474</v>
      </c>
      <c r="P106" s="423">
        <f t="shared" ref="P106:S106" si="35">P100/Q100</f>
        <v>1.0127178116414741</v>
      </c>
      <c r="Q106" s="423">
        <f t="shared" si="35"/>
        <v>1.0126440036299875</v>
      </c>
      <c r="R106" s="423">
        <f t="shared" si="35"/>
        <v>1.0125700725448659</v>
      </c>
      <c r="S106" s="423">
        <f t="shared" si="35"/>
        <v>1.0124960290022278</v>
      </c>
    </row>
    <row r="107" spans="2:20" x14ac:dyDescent="0.25">
      <c r="B107" s="304"/>
      <c r="C107" s="397"/>
      <c r="D107" s="397"/>
      <c r="E107" s="397"/>
      <c r="F107" s="397"/>
      <c r="G107" s="397"/>
      <c r="I107" s="420"/>
      <c r="N107" s="304"/>
      <c r="O107" s="397"/>
      <c r="P107" s="397"/>
      <c r="Q107" s="397"/>
      <c r="R107" s="397"/>
      <c r="S107" s="397"/>
    </row>
    <row r="108" spans="2:20" x14ac:dyDescent="0.25">
      <c r="B108" s="354" t="s">
        <v>1117</v>
      </c>
      <c r="C108" s="423">
        <f>C15/D15-1</f>
        <v>2.0487418434505189E-2</v>
      </c>
      <c r="D108" s="423">
        <f>D15/E15-1</f>
        <v>2.0487418434505189E-2</v>
      </c>
      <c r="E108" s="423">
        <f>E15/F15-1</f>
        <v>2.0487418434505189E-2</v>
      </c>
      <c r="F108" s="423">
        <f>F15/G15-1</f>
        <v>2.0487418434505189E-2</v>
      </c>
      <c r="G108" s="423">
        <f>G15/H15-1</f>
        <v>2.0487418434505189E-2</v>
      </c>
      <c r="I108" s="342"/>
      <c r="N108" s="354" t="s">
        <v>1117</v>
      </c>
      <c r="O108" s="423">
        <f t="shared" ref="O108:S108" si="36">O109+O110</f>
        <v>2.0487418434505189E-2</v>
      </c>
      <c r="P108" s="423">
        <f t="shared" si="36"/>
        <v>2.0487418434505189E-2</v>
      </c>
      <c r="Q108" s="423">
        <f t="shared" si="36"/>
        <v>2.0487418434505189E-2</v>
      </c>
      <c r="R108" s="423">
        <f t="shared" si="36"/>
        <v>2.0487418434505189E-2</v>
      </c>
      <c r="S108" s="423">
        <f t="shared" si="36"/>
        <v>2.0487418434505189E-2</v>
      </c>
    </row>
    <row r="109" spans="2:20" x14ac:dyDescent="0.25">
      <c r="B109" s="421" t="s">
        <v>1334</v>
      </c>
      <c r="C109" s="424">
        <f>'Misc data'!U136-1</f>
        <v>2.0699999999999941E-2</v>
      </c>
      <c r="D109" s="424">
        <f>'Misc data'!V136-1</f>
        <v>2.0399999999999974E-2</v>
      </c>
      <c r="E109" s="424">
        <f>'Misc data'!W136-1</f>
        <v>2.1300000000000097E-2</v>
      </c>
      <c r="F109" s="424">
        <f>'Misc data'!X136-1</f>
        <v>2.4399999999999977E-2</v>
      </c>
      <c r="G109" s="424">
        <f>'Misc data'!Y136-1</f>
        <v>2.5400000000000089E-2</v>
      </c>
      <c r="I109" s="420"/>
      <c r="N109" s="421" t="s">
        <v>1334</v>
      </c>
      <c r="O109" s="423">
        <f>C109</f>
        <v>2.0699999999999941E-2</v>
      </c>
      <c r="P109" s="423">
        <f>D109</f>
        <v>2.0399999999999974E-2</v>
      </c>
      <c r="Q109" s="423">
        <f>E109</f>
        <v>2.1300000000000097E-2</v>
      </c>
      <c r="R109" s="423">
        <f>F109</f>
        <v>2.4399999999999977E-2</v>
      </c>
      <c r="S109" s="423">
        <f>G109</f>
        <v>2.5400000000000089E-2</v>
      </c>
    </row>
    <row r="110" spans="2:20" x14ac:dyDescent="0.25">
      <c r="B110" s="421" t="s">
        <v>1335</v>
      </c>
      <c r="C110" s="423">
        <f t="shared" ref="C110:F110" si="37">C108-C109</f>
        <v>-2.125815654947516E-4</v>
      </c>
      <c r="D110" s="423">
        <f t="shared" si="37"/>
        <v>8.7418434505215359E-5</v>
      </c>
      <c r="E110" s="423">
        <f t="shared" si="37"/>
        <v>-8.1258156549490757E-4</v>
      </c>
      <c r="F110" s="423">
        <f t="shared" si="37"/>
        <v>-3.9125815654947882E-3</v>
      </c>
      <c r="G110" s="423">
        <f>G108-G109</f>
        <v>-4.9125815654949001E-3</v>
      </c>
      <c r="N110" s="421" t="s">
        <v>1335</v>
      </c>
      <c r="O110" s="423">
        <v>-2.125815654947516E-4</v>
      </c>
      <c r="P110" s="423">
        <v>8.7418434505215359E-5</v>
      </c>
      <c r="Q110" s="423">
        <v>-8.1258156549490757E-4</v>
      </c>
      <c r="R110" s="423">
        <v>-3.9125815654947882E-3</v>
      </c>
      <c r="S110" s="423">
        <v>-4.9125815654949001E-3</v>
      </c>
    </row>
    <row r="111" spans="2:20" x14ac:dyDescent="0.25">
      <c r="B111" s="304"/>
      <c r="C111" s="397"/>
      <c r="D111" s="397"/>
      <c r="E111" s="397"/>
      <c r="F111" s="397"/>
      <c r="G111" s="397"/>
      <c r="N111" s="304"/>
      <c r="O111" s="397"/>
      <c r="P111" s="397"/>
      <c r="Q111" s="397"/>
      <c r="R111" s="397"/>
      <c r="S111" s="397"/>
    </row>
    <row r="112" spans="2:20" x14ac:dyDescent="0.25">
      <c r="B112" s="354" t="s">
        <v>780</v>
      </c>
      <c r="C112" s="423">
        <f>C16/D16-1</f>
        <v>3.1148327121623964E-3</v>
      </c>
      <c r="D112" s="423">
        <f>D16/E16-1</f>
        <v>3.1148327121623964E-3</v>
      </c>
      <c r="E112" s="423">
        <f>E16/F16-1</f>
        <v>3.1148327121623964E-3</v>
      </c>
      <c r="F112" s="423">
        <f>F16/G16-1</f>
        <v>3.1148327121623964E-3</v>
      </c>
      <c r="G112" s="423">
        <f>G16/H16-1</f>
        <v>3.1148327121623964E-3</v>
      </c>
      <c r="N112" s="354" t="s">
        <v>780</v>
      </c>
      <c r="O112" s="423">
        <f>O113+O114</f>
        <v>3.1148327121623964E-3</v>
      </c>
      <c r="P112" s="423">
        <f t="shared" ref="P112:S112" si="38">P113+P114</f>
        <v>3.1148327121623964E-3</v>
      </c>
      <c r="Q112" s="423">
        <f t="shared" si="38"/>
        <v>3.1148327121623964E-3</v>
      </c>
      <c r="R112" s="423">
        <f t="shared" si="38"/>
        <v>3.1148327121623964E-3</v>
      </c>
      <c r="S112" s="423">
        <f t="shared" si="38"/>
        <v>3.1148327121623964E-3</v>
      </c>
    </row>
    <row r="113" spans="2:20" x14ac:dyDescent="0.25">
      <c r="B113" s="421" t="s">
        <v>1340</v>
      </c>
      <c r="C113" s="424">
        <f>-C140</f>
        <v>7.5950213499059949E-2</v>
      </c>
      <c r="D113" s="424">
        <f t="shared" ref="D113:G113" si="39">-D140</f>
        <v>5.3921847631269282E-2</v>
      </c>
      <c r="E113" s="424">
        <f t="shared" si="39"/>
        <v>1.0987038765341572E-2</v>
      </c>
      <c r="F113" s="424">
        <f t="shared" si="39"/>
        <v>-2.5006882290095511E-2</v>
      </c>
      <c r="G113" s="424">
        <f t="shared" si="39"/>
        <v>1.5513339001231641E-2</v>
      </c>
      <c r="N113" s="421" t="s">
        <v>1340</v>
      </c>
      <c r="O113" s="423">
        <f>-O140</f>
        <v>7.5950213499059949E-2</v>
      </c>
      <c r="P113" s="423">
        <f t="shared" ref="P113:S113" si="40">-P140</f>
        <v>5.3921847631269282E-2</v>
      </c>
      <c r="Q113" s="423">
        <f t="shared" si="40"/>
        <v>1.0987038765341572E-2</v>
      </c>
      <c r="R113" s="423">
        <f t="shared" si="40"/>
        <v>-2.5006882290095511E-2</v>
      </c>
      <c r="S113" s="423">
        <f t="shared" si="40"/>
        <v>1.5513339001231641E-2</v>
      </c>
    </row>
    <row r="114" spans="2:20" x14ac:dyDescent="0.25">
      <c r="B114" s="421" t="s">
        <v>1335</v>
      </c>
      <c r="C114" s="423">
        <f t="shared" ref="C114:F114" si="41">C112-C113</f>
        <v>-7.2835380786897552E-2</v>
      </c>
      <c r="D114" s="423">
        <f t="shared" si="41"/>
        <v>-5.0807014919106885E-2</v>
      </c>
      <c r="E114" s="423">
        <f t="shared" si="41"/>
        <v>-7.872206053179176E-3</v>
      </c>
      <c r="F114" s="423">
        <f t="shared" si="41"/>
        <v>2.8121715002257908E-2</v>
      </c>
      <c r="G114" s="423">
        <f>G112-G113</f>
        <v>-1.2398506289069244E-2</v>
      </c>
      <c r="N114" s="421" t="s">
        <v>1335</v>
      </c>
      <c r="O114" s="423">
        <v>-7.2835380786897552E-2</v>
      </c>
      <c r="P114" s="423">
        <v>-5.0807014919106885E-2</v>
      </c>
      <c r="Q114" s="423">
        <v>-7.872206053179176E-3</v>
      </c>
      <c r="R114" s="423">
        <v>2.8121715002257908E-2</v>
      </c>
      <c r="S114" s="423">
        <v>-1.2398506289069244E-2</v>
      </c>
    </row>
    <row r="117" spans="2:20" x14ac:dyDescent="0.25">
      <c r="B117" s="38" t="s">
        <v>75</v>
      </c>
    </row>
    <row r="119" spans="2:20" ht="15.75" thickBot="1" x14ac:dyDescent="0.3">
      <c r="B119" s="38"/>
      <c r="C119" s="426">
        <v>2022</v>
      </c>
      <c r="D119" s="426">
        <v>2021</v>
      </c>
      <c r="E119" s="426">
        <v>2020</v>
      </c>
      <c r="F119" s="426">
        <v>2019</v>
      </c>
      <c r="G119" s="426">
        <v>2018</v>
      </c>
    </row>
    <row r="120" spans="2:20" ht="15.75" thickBot="1" x14ac:dyDescent="0.3">
      <c r="B120" s="429" t="s">
        <v>1029</v>
      </c>
      <c r="C120" s="430">
        <f>C121*O124+C122*O125</f>
        <v>1</v>
      </c>
      <c r="D120" s="430">
        <f t="shared" ref="D120:G120" si="42">D121*P124+D122*P125</f>
        <v>0.99999999999999978</v>
      </c>
      <c r="E120" s="430">
        <f t="shared" si="42"/>
        <v>0.99999999999999989</v>
      </c>
      <c r="F120" s="430">
        <f t="shared" si="42"/>
        <v>1</v>
      </c>
      <c r="G120" s="431">
        <f t="shared" si="42"/>
        <v>1</v>
      </c>
    </row>
    <row r="121" spans="2:20" x14ac:dyDescent="0.25">
      <c r="B121" s="427" t="s">
        <v>1117</v>
      </c>
      <c r="C121" s="428">
        <f t="shared" ref="C121:G122" si="43">O129/C125</f>
        <v>0.99999999999999978</v>
      </c>
      <c r="D121" s="428">
        <f t="shared" si="43"/>
        <v>0.99999999999999978</v>
      </c>
      <c r="E121" s="428">
        <f t="shared" si="43"/>
        <v>0.99999999999999989</v>
      </c>
      <c r="F121" s="428">
        <f t="shared" si="43"/>
        <v>1</v>
      </c>
      <c r="G121" s="428">
        <f t="shared" si="43"/>
        <v>1</v>
      </c>
    </row>
    <row r="122" spans="2:20" x14ac:dyDescent="0.25">
      <c r="B122" s="304" t="s">
        <v>780</v>
      </c>
      <c r="C122" s="397">
        <f t="shared" si="43"/>
        <v>1</v>
      </c>
      <c r="D122" s="397">
        <f t="shared" si="43"/>
        <v>1</v>
      </c>
      <c r="E122" s="397">
        <f t="shared" si="43"/>
        <v>1</v>
      </c>
      <c r="F122" s="397">
        <f t="shared" si="43"/>
        <v>1</v>
      </c>
      <c r="G122" s="397">
        <f t="shared" si="43"/>
        <v>1</v>
      </c>
    </row>
    <row r="123" spans="2:20" x14ac:dyDescent="0.25">
      <c r="N123" s="405" t="s">
        <v>1010</v>
      </c>
      <c r="O123" s="347">
        <v>2022</v>
      </c>
      <c r="P123" s="347">
        <v>2021</v>
      </c>
      <c r="Q123" s="347">
        <v>2020</v>
      </c>
      <c r="R123" s="347">
        <v>2019</v>
      </c>
      <c r="S123" s="347">
        <v>2018</v>
      </c>
      <c r="T123" s="347">
        <v>2017</v>
      </c>
    </row>
    <row r="124" spans="2:20" x14ac:dyDescent="0.25">
      <c r="B124" s="22" t="s">
        <v>1010</v>
      </c>
      <c r="C124" s="347">
        <v>2022</v>
      </c>
      <c r="D124" s="347">
        <v>2021</v>
      </c>
      <c r="E124" s="347">
        <v>2020</v>
      </c>
      <c r="F124" s="347">
        <v>2019</v>
      </c>
      <c r="G124" s="347">
        <v>2018</v>
      </c>
      <c r="H124" s="347">
        <v>2017</v>
      </c>
      <c r="I124" s="411"/>
      <c r="N124" s="405" t="s">
        <v>1117</v>
      </c>
      <c r="O124" s="357">
        <f t="shared" ref="O124:T124" si="44">O129/O128</f>
        <v>0.43063592606338813</v>
      </c>
      <c r="P124" s="357">
        <f t="shared" si="44"/>
        <v>0.40643202189490829</v>
      </c>
      <c r="Q124" s="357">
        <f t="shared" si="44"/>
        <v>0.38832467048530767</v>
      </c>
      <c r="R124" s="357">
        <f t="shared" si="44"/>
        <v>0.38072218875561581</v>
      </c>
      <c r="S124" s="357">
        <f t="shared" si="44"/>
        <v>0.38086183544949898</v>
      </c>
      <c r="T124" s="357">
        <f t="shared" si="44"/>
        <v>0.37130801687763709</v>
      </c>
    </row>
    <row r="125" spans="2:20" x14ac:dyDescent="0.25">
      <c r="B125" s="354" t="s">
        <v>1117</v>
      </c>
      <c r="C125" s="353">
        <v>7433.2759896968391</v>
      </c>
      <c r="D125" s="353">
        <v>6809.2757453336953</v>
      </c>
      <c r="E125" s="353">
        <v>6313.0439966647864</v>
      </c>
      <c r="F125" s="353">
        <v>6004.2666906701552</v>
      </c>
      <c r="G125" s="353">
        <v>5710.4515868410908</v>
      </c>
      <c r="H125" s="353">
        <v>5695.1223628691978</v>
      </c>
      <c r="N125" s="304" t="s">
        <v>780</v>
      </c>
      <c r="O125" s="357">
        <f t="shared" ref="O125:T125" si="45">O130/O128</f>
        <v>0.56936407393661193</v>
      </c>
      <c r="P125" s="357">
        <f t="shared" si="45"/>
        <v>0.59356797810509165</v>
      </c>
      <c r="Q125" s="357">
        <f t="shared" si="45"/>
        <v>0.61167532951469228</v>
      </c>
      <c r="R125" s="357">
        <f t="shared" si="45"/>
        <v>0.61927781124438419</v>
      </c>
      <c r="S125" s="357">
        <f t="shared" si="45"/>
        <v>0.61913816455050097</v>
      </c>
      <c r="T125" s="357">
        <f t="shared" si="45"/>
        <v>0.62869198312236285</v>
      </c>
    </row>
    <row r="126" spans="2:20" x14ac:dyDescent="0.25">
      <c r="B126" s="354" t="s">
        <v>780</v>
      </c>
      <c r="C126" s="353">
        <v>9827.8848652446632</v>
      </c>
      <c r="D126" s="353">
        <v>9944.5117972590433</v>
      </c>
      <c r="E126" s="353">
        <v>9944.0843201508214</v>
      </c>
      <c r="F126" s="353">
        <v>9766.4629069269849</v>
      </c>
      <c r="G126" s="353">
        <v>9283.0475126460715</v>
      </c>
      <c r="H126" s="353">
        <v>9642.8776371308013</v>
      </c>
    </row>
    <row r="127" spans="2:20" x14ac:dyDescent="0.25">
      <c r="O127" s="347">
        <v>2022</v>
      </c>
      <c r="P127" s="347">
        <v>2021</v>
      </c>
      <c r="Q127" s="347">
        <v>2020</v>
      </c>
      <c r="R127" s="347">
        <v>2019</v>
      </c>
      <c r="S127" s="347">
        <v>2018</v>
      </c>
      <c r="T127" s="347">
        <v>2017</v>
      </c>
    </row>
    <row r="128" spans="2:20" x14ac:dyDescent="0.25">
      <c r="B128" s="405" t="s">
        <v>1010</v>
      </c>
      <c r="C128" s="347">
        <v>2022</v>
      </c>
      <c r="D128" s="347">
        <v>2021</v>
      </c>
      <c r="E128" s="347">
        <v>2020</v>
      </c>
      <c r="F128" s="347">
        <v>2019</v>
      </c>
      <c r="G128" s="347">
        <v>2018</v>
      </c>
      <c r="H128" s="347">
        <v>2017</v>
      </c>
      <c r="N128" s="405" t="s">
        <v>1010</v>
      </c>
      <c r="O128" s="353">
        <f>O129+O130</f>
        <v>17261.1608549415</v>
      </c>
      <c r="P128" s="353">
        <f t="shared" ref="P128" si="46">P129+P130</f>
        <v>16753.787542592738</v>
      </c>
      <c r="Q128" s="353">
        <f t="shared" ref="Q128" si="47">Q129+Q130</f>
        <v>16257.128316815608</v>
      </c>
      <c r="R128" s="353">
        <f t="shared" ref="R128" si="48">R129+R130</f>
        <v>15770.729597597139</v>
      </c>
      <c r="S128" s="353">
        <f t="shared" ref="S128" si="49">S129+S130</f>
        <v>14993.499099487162</v>
      </c>
      <c r="T128" s="353">
        <f t="shared" ref="T128" si="50">T129+T130</f>
        <v>15338</v>
      </c>
    </row>
    <row r="129" spans="2:20" x14ac:dyDescent="0.25">
      <c r="B129" s="405" t="s">
        <v>1117</v>
      </c>
      <c r="C129" s="425">
        <f>C125/(C$125+C$126)</f>
        <v>0.43063592606338819</v>
      </c>
      <c r="D129" s="425">
        <f t="shared" ref="D129:H129" si="51">D125/(D$125+D$126)</f>
        <v>0.4064320218949084</v>
      </c>
      <c r="E129" s="425">
        <f t="shared" si="51"/>
        <v>0.38832467048530772</v>
      </c>
      <c r="F129" s="425">
        <f t="shared" si="51"/>
        <v>0.38072218875561581</v>
      </c>
      <c r="G129" s="425">
        <f t="shared" si="51"/>
        <v>0.38086183544949898</v>
      </c>
      <c r="H129" s="425">
        <f t="shared" si="51"/>
        <v>0.37130801687763709</v>
      </c>
      <c r="N129" s="405" t="s">
        <v>1117</v>
      </c>
      <c r="O129" s="353">
        <f>P129*(1+O135)</f>
        <v>7433.2759896968373</v>
      </c>
      <c r="P129" s="353">
        <f>Q129*(1+P135)</f>
        <v>6809.2757453336935</v>
      </c>
      <c r="Q129" s="353">
        <f>R129*(1+Q135)</f>
        <v>6313.0439966647855</v>
      </c>
      <c r="R129" s="353">
        <f>S129*(1+R135)</f>
        <v>6004.2666906701552</v>
      </c>
      <c r="S129" s="353">
        <f>T129*(1+S135)</f>
        <v>5710.4515868410908</v>
      </c>
      <c r="T129" s="353">
        <f>H125</f>
        <v>5695.1223628691978</v>
      </c>
    </row>
    <row r="130" spans="2:20" x14ac:dyDescent="0.25">
      <c r="B130" s="304" t="s">
        <v>780</v>
      </c>
      <c r="C130" s="425">
        <f t="shared" ref="C130:H130" si="52">C126/(C$125+C$126)</f>
        <v>0.56936407393661181</v>
      </c>
      <c r="D130" s="425">
        <f t="shared" si="52"/>
        <v>0.59356797810509165</v>
      </c>
      <c r="E130" s="425">
        <f t="shared" si="52"/>
        <v>0.61167532951469228</v>
      </c>
      <c r="F130" s="425">
        <f t="shared" si="52"/>
        <v>0.61927781124438419</v>
      </c>
      <c r="G130" s="425">
        <f t="shared" si="52"/>
        <v>0.61913816455050097</v>
      </c>
      <c r="H130" s="425">
        <f t="shared" si="52"/>
        <v>0.62869198312236285</v>
      </c>
      <c r="N130" s="304" t="s">
        <v>780</v>
      </c>
      <c r="O130" s="353">
        <f>P130*(1+O139)</f>
        <v>9827.8848652446632</v>
      </c>
      <c r="P130" s="353">
        <f>Q130*(1+P139)</f>
        <v>9944.5117972590433</v>
      </c>
      <c r="Q130" s="353">
        <f>R130*(1+Q139)</f>
        <v>9944.0843201508214</v>
      </c>
      <c r="R130" s="353">
        <f>S130*(1+R139)</f>
        <v>9766.4629069269849</v>
      </c>
      <c r="S130" s="353">
        <f>T130*(1+S139)</f>
        <v>9283.0475126460715</v>
      </c>
      <c r="T130" s="353">
        <f>H126</f>
        <v>9642.8776371308013</v>
      </c>
    </row>
    <row r="133" spans="2:20" x14ac:dyDescent="0.25">
      <c r="B133" s="304" t="s">
        <v>1336</v>
      </c>
      <c r="C133" s="423">
        <f>'Income Statement (Y)'!C3/'Income Statement (Y)'!D3-1</f>
        <v>3.0284096122079163E-2</v>
      </c>
      <c r="D133" s="423">
        <f>'Income Statement (Y)'!D3/'Income Statement (Y)'!E3-1</f>
        <v>3.0550243320857984E-2</v>
      </c>
      <c r="E133" s="423">
        <f>'Income Statement (Y)'!E3/'Income Statement (Y)'!F3-1</f>
        <v>3.0841865381584954E-2</v>
      </c>
      <c r="F133" s="423">
        <f>'Income Statement (Y)'!F3/'Income Statement (Y)'!G3-1</f>
        <v>5.1837832713549581E-2</v>
      </c>
      <c r="G133" s="423">
        <f>'Income Statement (Y)'!G3/'Income Statement (Y)'!H3-1</f>
        <v>-2.2460614194343087E-2</v>
      </c>
      <c r="N133" s="304" t="s">
        <v>1336</v>
      </c>
      <c r="O133" s="423">
        <f>O128/P128</f>
        <v>1.0302840961220787</v>
      </c>
      <c r="P133" s="423">
        <f>P128/Q128</f>
        <v>1.0305502433208582</v>
      </c>
      <c r="Q133" s="423">
        <f>Q128/R128</f>
        <v>1.030841865381585</v>
      </c>
      <c r="R133" s="423">
        <f>R128/S128</f>
        <v>1.05183783271355</v>
      </c>
      <c r="S133" s="423">
        <f>S128/T128</f>
        <v>0.97753938580565669</v>
      </c>
    </row>
    <row r="134" spans="2:20" x14ac:dyDescent="0.25">
      <c r="B134" s="304"/>
      <c r="C134" s="397"/>
      <c r="D134" s="397"/>
      <c r="E134" s="397"/>
      <c r="F134" s="397"/>
      <c r="G134" s="397"/>
      <c r="N134" s="304"/>
      <c r="O134" s="397"/>
      <c r="P134" s="397"/>
      <c r="Q134" s="397"/>
      <c r="R134" s="397"/>
      <c r="S134" s="397"/>
    </row>
    <row r="135" spans="2:20" x14ac:dyDescent="0.25">
      <c r="B135" s="354" t="s">
        <v>1117</v>
      </c>
      <c r="C135" s="423">
        <f t="shared" ref="C135:F135" si="53">C125/D125-1</f>
        <v>9.1639737866507032E-2</v>
      </c>
      <c r="D135" s="423">
        <f t="shared" si="53"/>
        <v>7.8604196158156059E-2</v>
      </c>
      <c r="E135" s="423">
        <f t="shared" si="53"/>
        <v>5.1426314303198772E-2</v>
      </c>
      <c r="F135" s="423">
        <f t="shared" si="53"/>
        <v>5.1452166148491463E-2</v>
      </c>
      <c r="G135" s="423">
        <f>G125/H125-1</f>
        <v>2.691640845477794E-3</v>
      </c>
      <c r="N135" s="354" t="s">
        <v>1117</v>
      </c>
      <c r="O135" s="423">
        <f t="shared" ref="O135" si="54">O136+O137</f>
        <v>9.1639737866507032E-2</v>
      </c>
      <c r="P135" s="423">
        <f t="shared" ref="P135" si="55">P136+P137</f>
        <v>7.8604196158156059E-2</v>
      </c>
      <c r="Q135" s="423">
        <f t="shared" ref="Q135" si="56">Q136+Q137</f>
        <v>5.1426314303198772E-2</v>
      </c>
      <c r="R135" s="423">
        <f t="shared" ref="R135" si="57">R136+R137</f>
        <v>5.1452166148491463E-2</v>
      </c>
      <c r="S135" s="423">
        <f t="shared" ref="S135" si="58">S136+S137</f>
        <v>2.691640845477794E-3</v>
      </c>
    </row>
    <row r="136" spans="2:20" x14ac:dyDescent="0.25">
      <c r="B136" s="421" t="s">
        <v>1334</v>
      </c>
      <c r="C136" s="424">
        <f>C109</f>
        <v>2.0699999999999941E-2</v>
      </c>
      <c r="D136" s="424">
        <f>D109</f>
        <v>2.0399999999999974E-2</v>
      </c>
      <c r="E136" s="424">
        <f>E109</f>
        <v>2.1300000000000097E-2</v>
      </c>
      <c r="F136" s="424">
        <f>F109</f>
        <v>2.4399999999999977E-2</v>
      </c>
      <c r="G136" s="424">
        <f>G109</f>
        <v>2.5400000000000089E-2</v>
      </c>
      <c r="N136" s="421" t="s">
        <v>1334</v>
      </c>
      <c r="O136" s="424">
        <f t="shared" ref="O136" si="59">C136</f>
        <v>2.0699999999999941E-2</v>
      </c>
      <c r="P136" s="424">
        <f t="shared" ref="P136" si="60">D136</f>
        <v>2.0399999999999974E-2</v>
      </c>
      <c r="Q136" s="424">
        <f t="shared" ref="Q136" si="61">E136</f>
        <v>2.1300000000000097E-2</v>
      </c>
      <c r="R136" s="424">
        <f t="shared" ref="R136" si="62">F136</f>
        <v>2.4399999999999977E-2</v>
      </c>
      <c r="S136" s="424">
        <f>G136</f>
        <v>2.5400000000000089E-2</v>
      </c>
    </row>
    <row r="137" spans="2:20" x14ac:dyDescent="0.25">
      <c r="B137" s="421" t="s">
        <v>1335</v>
      </c>
      <c r="C137" s="423">
        <f t="shared" ref="C137:F137" si="63">C135-C136</f>
        <v>7.0939737866507091E-2</v>
      </c>
      <c r="D137" s="423">
        <f t="shared" si="63"/>
        <v>5.8204196158156085E-2</v>
      </c>
      <c r="E137" s="423">
        <f t="shared" si="63"/>
        <v>3.0126314303198676E-2</v>
      </c>
      <c r="F137" s="423">
        <f t="shared" si="63"/>
        <v>2.7052166148491485E-2</v>
      </c>
      <c r="G137" s="423">
        <f>G135-G136</f>
        <v>-2.2708359154522295E-2</v>
      </c>
      <c r="N137" s="421" t="s">
        <v>1335</v>
      </c>
      <c r="O137" s="424">
        <v>7.0939737866507091E-2</v>
      </c>
      <c r="P137" s="424">
        <v>5.8204196158156085E-2</v>
      </c>
      <c r="Q137" s="424">
        <v>3.0126314303198676E-2</v>
      </c>
      <c r="R137" s="424">
        <v>2.7052166148491485E-2</v>
      </c>
      <c r="S137" s="424">
        <v>-2.2708359154522295E-2</v>
      </c>
    </row>
    <row r="138" spans="2:20" x14ac:dyDescent="0.25">
      <c r="B138" s="304"/>
      <c r="C138" s="397"/>
      <c r="D138" s="397"/>
      <c r="E138" s="397"/>
      <c r="F138" s="397"/>
      <c r="G138" s="397"/>
      <c r="N138" s="304"/>
      <c r="O138" s="397"/>
      <c r="P138" s="397"/>
      <c r="Q138" s="397"/>
      <c r="R138" s="397"/>
      <c r="S138" s="397"/>
    </row>
    <row r="139" spans="2:20" x14ac:dyDescent="0.25">
      <c r="B139" s="354" t="s">
        <v>780</v>
      </c>
      <c r="C139" s="423">
        <f>C126/D126-1</f>
        <v>-1.1727768480955025E-2</v>
      </c>
      <c r="D139" s="423">
        <f t="shared" ref="D139:G139" si="64">D126/E126-1</f>
        <v>4.2988081603079209E-5</v>
      </c>
      <c r="E139" s="423">
        <f t="shared" si="64"/>
        <v>1.8186872250121944E-2</v>
      </c>
      <c r="F139" s="423">
        <f t="shared" si="64"/>
        <v>5.2075074874104565E-2</v>
      </c>
      <c r="G139" s="423">
        <f t="shared" si="64"/>
        <v>-3.7315637305110116E-2</v>
      </c>
      <c r="N139" s="354" t="s">
        <v>780</v>
      </c>
      <c r="O139" s="423">
        <f t="shared" ref="O139" si="65">O140+O141</f>
        <v>-1.1727768480955025E-2</v>
      </c>
      <c r="P139" s="423">
        <f t="shared" ref="P139" si="66">P140+P141</f>
        <v>4.2988081603079209E-5</v>
      </c>
      <c r="Q139" s="423">
        <f t="shared" ref="Q139" si="67">Q140+Q141</f>
        <v>1.8186872250121944E-2</v>
      </c>
      <c r="R139" s="423">
        <f t="shared" ref="R139" si="68">R140+R141</f>
        <v>5.2075074874104565E-2</v>
      </c>
      <c r="S139" s="423">
        <f t="shared" ref="S139" si="69">S140+S141</f>
        <v>-3.7315637305110116E-2</v>
      </c>
    </row>
    <row r="140" spans="2:20" x14ac:dyDescent="0.25">
      <c r="B140" s="421" t="s">
        <v>1340</v>
      </c>
      <c r="C140" s="424">
        <f>'Misc data'!U137-1</f>
        <v>-7.5950213499059949E-2</v>
      </c>
      <c r="D140" s="424">
        <f>'Misc data'!V137-1</f>
        <v>-5.3921847631269282E-2</v>
      </c>
      <c r="E140" s="424">
        <f>'Misc data'!W137-1</f>
        <v>-1.0987038765341572E-2</v>
      </c>
      <c r="F140" s="424">
        <f>'Misc data'!X137-1</f>
        <v>2.5006882290095511E-2</v>
      </c>
      <c r="G140" s="424">
        <f>'Misc data'!Y137-1</f>
        <v>-1.5513339001231641E-2</v>
      </c>
      <c r="N140" s="421" t="s">
        <v>1340</v>
      </c>
      <c r="O140" s="424">
        <f t="shared" ref="O140" si="70">C140</f>
        <v>-7.5950213499059949E-2</v>
      </c>
      <c r="P140" s="424">
        <f t="shared" ref="P140" si="71">D140</f>
        <v>-5.3921847631269282E-2</v>
      </c>
      <c r="Q140" s="424">
        <f t="shared" ref="Q140" si="72">E140</f>
        <v>-1.0987038765341572E-2</v>
      </c>
      <c r="R140" s="424">
        <f t="shared" ref="R140" si="73">F140</f>
        <v>2.5006882290095511E-2</v>
      </c>
      <c r="S140" s="424">
        <f>G140</f>
        <v>-1.5513339001231641E-2</v>
      </c>
    </row>
    <row r="141" spans="2:20" x14ac:dyDescent="0.25">
      <c r="B141" s="421" t="s">
        <v>1335</v>
      </c>
      <c r="C141" s="423">
        <f t="shared" ref="C141" si="74">C139-C140</f>
        <v>6.4222445018104923E-2</v>
      </c>
      <c r="D141" s="423">
        <f t="shared" ref="D141" si="75">D139-D140</f>
        <v>5.3964835712872361E-2</v>
      </c>
      <c r="E141" s="423">
        <f t="shared" ref="E141" si="76">E139-E140</f>
        <v>2.9173911015463516E-2</v>
      </c>
      <c r="F141" s="423">
        <f t="shared" ref="F141" si="77">F139-F140</f>
        <v>2.7068192584009054E-2</v>
      </c>
      <c r="G141" s="423">
        <f>G139-G140</f>
        <v>-2.1802298303878476E-2</v>
      </c>
      <c r="N141" s="421" t="s">
        <v>1335</v>
      </c>
      <c r="O141" s="424">
        <v>6.4222445018104923E-2</v>
      </c>
      <c r="P141" s="424">
        <v>5.3964835712872361E-2</v>
      </c>
      <c r="Q141" s="424">
        <v>2.9173911015463516E-2</v>
      </c>
      <c r="R141" s="424">
        <v>2.7068192584009054E-2</v>
      </c>
      <c r="S141" s="424">
        <v>-2.1802298303878476E-2</v>
      </c>
    </row>
    <row r="147" spans="2:26" ht="21" x14ac:dyDescent="0.35">
      <c r="B147" s="492" t="s">
        <v>1348</v>
      </c>
      <c r="C147" s="493"/>
      <c r="D147" s="493"/>
      <c r="E147" s="493"/>
      <c r="F147" s="493"/>
      <c r="G147" s="493"/>
      <c r="H147" s="493"/>
      <c r="I147" s="493"/>
      <c r="J147" s="493"/>
      <c r="K147" s="493"/>
      <c r="L147" s="493"/>
      <c r="M147" s="493"/>
      <c r="N147" s="493"/>
      <c r="O147" s="493"/>
      <c r="P147" s="493"/>
      <c r="Q147" s="493"/>
      <c r="R147" s="493"/>
      <c r="S147" s="493"/>
      <c r="T147" s="493"/>
      <c r="U147" s="493"/>
      <c r="V147" s="493"/>
      <c r="W147" s="493"/>
      <c r="X147" s="493"/>
      <c r="Y147" s="493"/>
      <c r="Z147" s="494"/>
    </row>
    <row r="148" spans="2:26" ht="15.75" thickBot="1" x14ac:dyDescent="0.3"/>
    <row r="149" spans="2:26" ht="15.75" thickBot="1" x14ac:dyDescent="0.3">
      <c r="B149" s="422" t="s">
        <v>1356</v>
      </c>
      <c r="C149" s="440">
        <v>1</v>
      </c>
    </row>
    <row r="150" spans="2:26" x14ac:dyDescent="0.25">
      <c r="B150" s="38" t="s">
        <v>1365</v>
      </c>
    </row>
    <row r="152" spans="2:26" x14ac:dyDescent="0.25">
      <c r="H152" s="496" t="s">
        <v>296</v>
      </c>
      <c r="I152" s="496"/>
      <c r="J152" s="496"/>
      <c r="K152" s="496"/>
      <c r="L152" s="496"/>
      <c r="M152" s="496"/>
      <c r="N152" s="496"/>
      <c r="O152" s="496"/>
    </row>
    <row r="153" spans="2:26" x14ac:dyDescent="0.25">
      <c r="B153" s="304" t="s">
        <v>1349</v>
      </c>
      <c r="C153" s="397">
        <v>2017</v>
      </c>
      <c r="D153" s="397">
        <v>2016</v>
      </c>
      <c r="E153" s="397">
        <v>2015</v>
      </c>
      <c r="H153" s="397">
        <v>2022</v>
      </c>
      <c r="I153" s="397">
        <v>2021</v>
      </c>
      <c r="J153" s="397">
        <v>2020</v>
      </c>
      <c r="K153" s="397">
        <v>2019</v>
      </c>
      <c r="L153" s="397">
        <v>2018</v>
      </c>
      <c r="M153" s="397">
        <v>2017</v>
      </c>
      <c r="N153" s="397">
        <v>2015</v>
      </c>
      <c r="O153" s="304" t="s">
        <v>1315</v>
      </c>
    </row>
    <row r="154" spans="2:26" x14ac:dyDescent="0.25">
      <c r="B154" s="304" t="s">
        <v>1310</v>
      </c>
      <c r="C154" s="425">
        <v>0.14000000000000001</v>
      </c>
      <c r="D154" s="425">
        <v>0.13</v>
      </c>
      <c r="E154" s="425">
        <v>0.15</v>
      </c>
      <c r="H154" s="438">
        <f>$O154*I154</f>
        <v>23812.860505981636</v>
      </c>
      <c r="I154" s="438">
        <f>$O154*J154</f>
        <v>22502.370226249357</v>
      </c>
      <c r="J154" s="438">
        <v>21264</v>
      </c>
      <c r="K154" s="438">
        <v>21869</v>
      </c>
      <c r="L154" s="438">
        <v>21590</v>
      </c>
      <c r="M154" s="438">
        <v>18188</v>
      </c>
      <c r="N154" s="438">
        <v>17943</v>
      </c>
      <c r="O154" s="407">
        <f>((J154/N154)^(1/3))</f>
        <v>1.0582378774571743</v>
      </c>
    </row>
    <row r="155" spans="2:26" x14ac:dyDescent="0.25">
      <c r="B155" s="304" t="s">
        <v>1311</v>
      </c>
      <c r="C155" s="425">
        <f>C159-C154</f>
        <v>0.19</v>
      </c>
      <c r="D155" s="425">
        <f>D159-D154</f>
        <v>0.2</v>
      </c>
      <c r="E155" s="425">
        <f>E159-E154</f>
        <v>0.21</v>
      </c>
      <c r="H155" s="397"/>
      <c r="I155" s="397"/>
      <c r="J155" s="438"/>
      <c r="K155" s="438"/>
      <c r="L155" s="438"/>
      <c r="M155" s="438"/>
      <c r="N155" s="438"/>
      <c r="O155" s="407"/>
    </row>
    <row r="156" spans="2:26" x14ac:dyDescent="0.25">
      <c r="B156" s="354" t="s">
        <v>1312</v>
      </c>
      <c r="C156" s="423">
        <f t="shared" ref="C156:E158" si="78">C$155/3</f>
        <v>6.3333333333333339E-2</v>
      </c>
      <c r="D156" s="423">
        <f t="shared" si="78"/>
        <v>6.6666666666666666E-2</v>
      </c>
      <c r="E156" s="423">
        <f>E$155/3</f>
        <v>6.9999999999999993E-2</v>
      </c>
      <c r="H156" s="438">
        <f>$O156*I156</f>
        <v>9325.27485757252</v>
      </c>
      <c r="I156" s="438">
        <f>((J156/N156)^(1/3))*J156</f>
        <v>9482.8068340324116</v>
      </c>
      <c r="J156" s="438">
        <v>9643</v>
      </c>
      <c r="K156" s="438">
        <v>10131</v>
      </c>
      <c r="L156" s="438">
        <v>9889</v>
      </c>
      <c r="M156" s="438">
        <v>8570</v>
      </c>
      <c r="N156" s="438">
        <v>10140</v>
      </c>
      <c r="O156" s="407">
        <f>((J156/N156)^(1/3))</f>
        <v>0.98338762149045023</v>
      </c>
    </row>
    <row r="157" spans="2:26" x14ac:dyDescent="0.25">
      <c r="B157" s="354" t="s">
        <v>1313</v>
      </c>
      <c r="C157" s="423">
        <f t="shared" si="78"/>
        <v>6.3333333333333339E-2</v>
      </c>
      <c r="D157" s="423">
        <f t="shared" si="78"/>
        <v>6.6666666666666666E-2</v>
      </c>
      <c r="E157" s="423">
        <f t="shared" si="78"/>
        <v>6.9999999999999993E-2</v>
      </c>
      <c r="H157" s="438">
        <f>$O157*I157</f>
        <v>203375.20836083233</v>
      </c>
      <c r="I157" s="438">
        <f>((J157/N157)^(1/3))*J157</f>
        <v>191226.2340498885</v>
      </c>
      <c r="J157" s="438">
        <v>179803</v>
      </c>
      <c r="K157" s="438">
        <v>174572</v>
      </c>
      <c r="L157" s="438">
        <v>170150</v>
      </c>
      <c r="M157" s="438">
        <v>164330</v>
      </c>
      <c r="N157" s="438">
        <v>149467</v>
      </c>
      <c r="O157" s="407">
        <f>((J157/N157)^(1/3))</f>
        <v>1.0635319435709554</v>
      </c>
    </row>
    <row r="158" spans="2:26" x14ac:dyDescent="0.25">
      <c r="B158" s="354" t="s">
        <v>1314</v>
      </c>
      <c r="C158" s="423">
        <f t="shared" si="78"/>
        <v>6.3333333333333339E-2</v>
      </c>
      <c r="D158" s="423">
        <f t="shared" si="78"/>
        <v>6.6666666666666666E-2</v>
      </c>
      <c r="E158" s="423">
        <f t="shared" si="78"/>
        <v>6.9999999999999993E-2</v>
      </c>
      <c r="H158" s="438">
        <f>$O158*I158</f>
        <v>127418.50536697179</v>
      </c>
      <c r="I158" s="438">
        <f>((J158/N158)^(1/3))*J158</f>
        <v>123860.57840650567</v>
      </c>
      <c r="J158" s="438">
        <v>120402</v>
      </c>
      <c r="K158" s="438">
        <v>118233</v>
      </c>
      <c r="L158" s="438">
        <v>115917</v>
      </c>
      <c r="M158" s="438">
        <v>110934</v>
      </c>
      <c r="N158" s="438">
        <v>110595</v>
      </c>
      <c r="O158" s="407">
        <f>((J158/N158)^(1/3))</f>
        <v>1.0287252571095635</v>
      </c>
    </row>
    <row r="159" spans="2:26" x14ac:dyDescent="0.25">
      <c r="B159" s="304" t="s">
        <v>15</v>
      </c>
      <c r="C159" s="425">
        <v>0.33</v>
      </c>
      <c r="D159" s="425">
        <v>0.33</v>
      </c>
      <c r="E159" s="425">
        <v>0.36</v>
      </c>
      <c r="H159" s="438">
        <f>SUBTOTAL(9,H154:H158)</f>
        <v>363931.84909135825</v>
      </c>
      <c r="I159" s="438">
        <f>SUBTOTAL(9,I154:I158)</f>
        <v>347071.98951667594</v>
      </c>
      <c r="J159" s="438">
        <f>SUBTOTAL(9,J154:J158)</f>
        <v>331112</v>
      </c>
      <c r="K159" s="438">
        <f t="shared" ref="K159:M159" si="79">SUBTOTAL(9,K154:K158)</f>
        <v>324805</v>
      </c>
      <c r="L159" s="438">
        <f t="shared" si="79"/>
        <v>317546</v>
      </c>
      <c r="M159" s="438">
        <f t="shared" si="79"/>
        <v>302022</v>
      </c>
      <c r="N159" s="438">
        <f>SUBTOTAL(9,N154:N158)</f>
        <v>288145</v>
      </c>
      <c r="O159" s="407">
        <f>((J159/N159)^(1/3))</f>
        <v>1.047421001444681</v>
      </c>
    </row>
    <row r="160" spans="2:26" x14ac:dyDescent="0.25">
      <c r="H160" s="396"/>
      <c r="I160" s="396"/>
      <c r="J160" s="396"/>
      <c r="K160" s="396"/>
    </row>
    <row r="161" spans="2:20" x14ac:dyDescent="0.25">
      <c r="B161" s="304" t="s">
        <v>1316</v>
      </c>
      <c r="C161" s="304"/>
      <c r="D161" s="304"/>
      <c r="E161" s="304"/>
      <c r="H161" s="497" t="s">
        <v>1317</v>
      </c>
      <c r="I161" s="498"/>
      <c r="J161" s="498"/>
      <c r="K161" s="498"/>
      <c r="L161" s="499"/>
      <c r="O161" s="497" t="s">
        <v>1384</v>
      </c>
      <c r="P161" s="498"/>
      <c r="Q161" s="498"/>
      <c r="R161" s="498"/>
      <c r="S161" s="499"/>
    </row>
    <row r="162" spans="2:20" x14ac:dyDescent="0.25">
      <c r="B162" s="304" t="s">
        <v>1310</v>
      </c>
      <c r="C162" s="353">
        <f>C154*'Income Statement (Y)'!H$2</f>
        <v>2859.92</v>
      </c>
      <c r="D162" s="353">
        <f>D154*'Income Statement (Y)'!I$2</f>
        <v>2276.17</v>
      </c>
      <c r="E162" s="353">
        <f>E154*'Income Statement (Y)'!J$2</f>
        <v>2866.5</v>
      </c>
      <c r="G162" s="304" t="s">
        <v>1310</v>
      </c>
      <c r="H162" s="360">
        <f>H154/I154</f>
        <v>1.0582378774571743</v>
      </c>
      <c r="I162" s="360">
        <f>I154/J154</f>
        <v>1.0582378774571743</v>
      </c>
      <c r="J162" s="360">
        <f>J154/K154</f>
        <v>0.97233526910238233</v>
      </c>
      <c r="K162" s="360">
        <f>K154/L154</f>
        <v>1.0129226493747105</v>
      </c>
      <c r="L162" s="360">
        <f>L154/M154</f>
        <v>1.1870464042225644</v>
      </c>
      <c r="O162" s="445">
        <v>2022</v>
      </c>
      <c r="P162" s="445">
        <v>2021</v>
      </c>
      <c r="Q162" s="445">
        <v>2020</v>
      </c>
      <c r="R162" s="445">
        <v>2019</v>
      </c>
      <c r="S162" s="445">
        <v>2018</v>
      </c>
      <c r="T162" s="445">
        <v>2017</v>
      </c>
    </row>
    <row r="163" spans="2:20" x14ac:dyDescent="0.25">
      <c r="B163" s="304" t="s">
        <v>1311</v>
      </c>
      <c r="C163" s="353">
        <f>C155*'Income Statement (Y)'!H$2</f>
        <v>3881.32</v>
      </c>
      <c r="D163" s="353">
        <f>D155*'Income Statement (Y)'!I$2</f>
        <v>3501.8</v>
      </c>
      <c r="E163" s="353">
        <f>E155*'Income Statement (Y)'!J$2</f>
        <v>4013.1</v>
      </c>
      <c r="G163" s="304" t="s">
        <v>1311</v>
      </c>
      <c r="H163" s="360"/>
      <c r="I163" s="360"/>
      <c r="J163" s="360"/>
      <c r="K163" s="360"/>
      <c r="L163" s="360"/>
      <c r="N163" s="304" t="s">
        <v>1310</v>
      </c>
      <c r="O163" s="360">
        <f t="shared" ref="O163:Q163" si="80">P163*H162</f>
        <v>1.3092621786882359</v>
      </c>
      <c r="P163" s="360">
        <f t="shared" si="80"/>
        <v>1.2372097111419262</v>
      </c>
      <c r="Q163" s="360">
        <f t="shared" si="80"/>
        <v>1.1691224983505608</v>
      </c>
      <c r="R163" s="360">
        <f>S163*K162</f>
        <v>1.2023861886958436</v>
      </c>
      <c r="S163" s="360">
        <f>L162</f>
        <v>1.1870464042225644</v>
      </c>
      <c r="T163" s="363">
        <v>1</v>
      </c>
    </row>
    <row r="164" spans="2:20" x14ac:dyDescent="0.25">
      <c r="B164" s="354" t="s">
        <v>1312</v>
      </c>
      <c r="C164" s="353">
        <f>C156*'Income Statement (Y)'!H$2</f>
        <v>1293.7733333333335</v>
      </c>
      <c r="D164" s="353">
        <f>D156*'Income Statement (Y)'!I$2</f>
        <v>1167.2666666666667</v>
      </c>
      <c r="E164" s="353">
        <f>E156*'Income Statement (Y)'!J$2</f>
        <v>1337.6999999999998</v>
      </c>
      <c r="G164" s="354" t="s">
        <v>1312</v>
      </c>
      <c r="H164" s="360">
        <f t="shared" ref="H164:L167" si="81">H156/I156</f>
        <v>0.98338762149045023</v>
      </c>
      <c r="I164" s="360">
        <f t="shared" si="81"/>
        <v>0.98338762149045023</v>
      </c>
      <c r="J164" s="360">
        <f t="shared" si="81"/>
        <v>0.95183101372026457</v>
      </c>
      <c r="K164" s="360">
        <f t="shared" si="81"/>
        <v>1.0244716351501668</v>
      </c>
      <c r="L164" s="360">
        <f t="shared" si="81"/>
        <v>1.1539089848308051</v>
      </c>
      <c r="N164" s="355" t="s">
        <v>1312</v>
      </c>
      <c r="O164" s="360">
        <f t="shared" ref="O164:Q166" si="82">P164*H164</f>
        <v>1.0881300883981935</v>
      </c>
      <c r="P164" s="360">
        <f t="shared" si="82"/>
        <v>1.1065118826175508</v>
      </c>
      <c r="Q164" s="360">
        <f t="shared" si="82"/>
        <v>1.1252042007001166</v>
      </c>
      <c r="R164" s="360">
        <f>S164*K164</f>
        <v>1.1821470245040839</v>
      </c>
      <c r="S164" s="360">
        <f>L164</f>
        <v>1.1539089848308051</v>
      </c>
      <c r="T164" s="363">
        <v>1</v>
      </c>
    </row>
    <row r="165" spans="2:20" x14ac:dyDescent="0.25">
      <c r="B165" s="354" t="s">
        <v>1313</v>
      </c>
      <c r="C165" s="353">
        <f>C157*'Income Statement (Y)'!H$2</f>
        <v>1293.7733333333335</v>
      </c>
      <c r="D165" s="353">
        <f>D157*'Income Statement (Y)'!I$2</f>
        <v>1167.2666666666667</v>
      </c>
      <c r="E165" s="353">
        <f>E157*'Income Statement (Y)'!J$2</f>
        <v>1337.6999999999998</v>
      </c>
      <c r="G165" s="354" t="s">
        <v>1313</v>
      </c>
      <c r="H165" s="360">
        <f t="shared" si="81"/>
        <v>1.0635319435709554</v>
      </c>
      <c r="I165" s="360">
        <f t="shared" si="81"/>
        <v>1.0635319435709554</v>
      </c>
      <c r="J165" s="360">
        <f t="shared" si="81"/>
        <v>1.0299647136997916</v>
      </c>
      <c r="K165" s="360">
        <f t="shared" si="81"/>
        <v>1.0259888333823097</v>
      </c>
      <c r="L165" s="360">
        <f t="shared" si="81"/>
        <v>1.0354165398892472</v>
      </c>
      <c r="N165" s="355" t="s">
        <v>1313</v>
      </c>
      <c r="O165" s="360">
        <f t="shared" si="82"/>
        <v>1.2376024363222318</v>
      </c>
      <c r="P165" s="360">
        <f t="shared" si="82"/>
        <v>1.1636720869584891</v>
      </c>
      <c r="Q165" s="360">
        <f t="shared" si="82"/>
        <v>1.0941580965131139</v>
      </c>
      <c r="R165" s="360">
        <f t="shared" ref="R165:R166" si="83">S165*K165</f>
        <v>1.0623258078257165</v>
      </c>
      <c r="S165" s="360">
        <f t="shared" ref="S165:S166" si="84">L165</f>
        <v>1.0354165398892472</v>
      </c>
      <c r="T165" s="363">
        <v>1</v>
      </c>
    </row>
    <row r="166" spans="2:20" x14ac:dyDescent="0.25">
      <c r="B166" s="354" t="s">
        <v>1314</v>
      </c>
      <c r="C166" s="353">
        <f>C158*'Income Statement (Y)'!H$2</f>
        <v>1293.7733333333335</v>
      </c>
      <c r="D166" s="353">
        <f>D158*'Income Statement (Y)'!I$2</f>
        <v>1167.2666666666667</v>
      </c>
      <c r="E166" s="353">
        <f>E158*'Income Statement (Y)'!J$2</f>
        <v>1337.6999999999998</v>
      </c>
      <c r="G166" s="354" t="s">
        <v>1314</v>
      </c>
      <c r="H166" s="360">
        <f t="shared" si="81"/>
        <v>1.0287252571095635</v>
      </c>
      <c r="I166" s="360">
        <f t="shared" si="81"/>
        <v>1.0287252571095635</v>
      </c>
      <c r="J166" s="360">
        <f t="shared" si="81"/>
        <v>1.0183451320697268</v>
      </c>
      <c r="K166" s="360">
        <f t="shared" si="81"/>
        <v>1.019979813142162</v>
      </c>
      <c r="L166" s="360">
        <f t="shared" si="81"/>
        <v>1.0449186002487967</v>
      </c>
      <c r="N166" s="355" t="s">
        <v>1314</v>
      </c>
      <c r="O166" s="360">
        <f t="shared" si="82"/>
        <v>1.148597412578396</v>
      </c>
      <c r="P166" s="360">
        <f t="shared" si="82"/>
        <v>1.1165249464231495</v>
      </c>
      <c r="Q166" s="360">
        <f t="shared" si="82"/>
        <v>1.0853480447833848</v>
      </c>
      <c r="R166" s="360">
        <f t="shared" si="83"/>
        <v>1.065795878630537</v>
      </c>
      <c r="S166" s="360">
        <f t="shared" si="84"/>
        <v>1.0449186002487967</v>
      </c>
      <c r="T166" s="363">
        <v>1</v>
      </c>
    </row>
    <row r="167" spans="2:20" x14ac:dyDescent="0.25">
      <c r="B167" s="304" t="s">
        <v>15</v>
      </c>
      <c r="C167" s="353">
        <f>C159*'Income Statement (Y)'!H$2</f>
        <v>6741.2400000000007</v>
      </c>
      <c r="D167" s="353">
        <f>D159*'Income Statement (Y)'!I$2</f>
        <v>5777.97</v>
      </c>
      <c r="E167" s="353">
        <f>E159*'Income Statement (Y)'!J$2</f>
        <v>6879.5999999999995</v>
      </c>
      <c r="H167" s="360">
        <f t="shared" si="81"/>
        <v>1.0485774135739416</v>
      </c>
      <c r="I167" s="360">
        <f t="shared" si="81"/>
        <v>1.0482011812216891</v>
      </c>
      <c r="J167" s="360">
        <f t="shared" si="81"/>
        <v>1.0194178045288711</v>
      </c>
      <c r="K167" s="360">
        <f t="shared" si="81"/>
        <v>1.0228596801723215</v>
      </c>
      <c r="L167" s="360">
        <f t="shared" si="81"/>
        <v>1.0514002291223818</v>
      </c>
    </row>
    <row r="170" spans="2:20" x14ac:dyDescent="0.25">
      <c r="B170" s="304" t="s">
        <v>1318</v>
      </c>
      <c r="C170" s="397">
        <v>2022</v>
      </c>
      <c r="D170" s="397">
        <v>2021</v>
      </c>
      <c r="E170" s="397">
        <v>2020</v>
      </c>
      <c r="F170" s="397">
        <v>2019</v>
      </c>
      <c r="G170" s="397">
        <v>2018</v>
      </c>
      <c r="H170" s="397">
        <v>2017</v>
      </c>
    </row>
    <row r="171" spans="2:20" x14ac:dyDescent="0.25">
      <c r="B171" s="304" t="s">
        <v>1310</v>
      </c>
      <c r="C171" s="353">
        <f>D171*H162</f>
        <v>3744.385090074059</v>
      </c>
      <c r="D171" s="353">
        <f>E171*I162</f>
        <v>3538.3207970890176</v>
      </c>
      <c r="E171" s="353">
        <f>F171*J162</f>
        <v>3343.5968154827356</v>
      </c>
      <c r="F171" s="353">
        <f>K162*G171</f>
        <v>3438.7283087750166</v>
      </c>
      <c r="G171" s="353">
        <f>L162*H171</f>
        <v>3394.8577523641961</v>
      </c>
      <c r="H171" s="353">
        <f>C162</f>
        <v>2859.92</v>
      </c>
    </row>
    <row r="172" spans="2:20" x14ac:dyDescent="0.25">
      <c r="B172" s="355" t="s">
        <v>1312</v>
      </c>
      <c r="C172" s="353">
        <f t="shared" ref="C172:E174" si="85">D172*H164</f>
        <v>1407.793691567226</v>
      </c>
      <c r="D172" s="353">
        <f t="shared" si="85"/>
        <v>1431.5755667470512</v>
      </c>
      <c r="E172" s="353">
        <f t="shared" si="85"/>
        <v>1455.7591894204593</v>
      </c>
      <c r="F172" s="353">
        <f t="shared" ref="F172:G174" si="86">K164*G172</f>
        <v>1529.4302963827306</v>
      </c>
      <c r="G172" s="353">
        <f t="shared" si="86"/>
        <v>1492.8966736678337</v>
      </c>
      <c r="H172" s="353">
        <f>C164</f>
        <v>1293.7733333333335</v>
      </c>
    </row>
    <row r="173" spans="2:20" x14ac:dyDescent="0.25">
      <c r="B173" s="355" t="s">
        <v>1313</v>
      </c>
      <c r="C173" s="353">
        <f t="shared" si="85"/>
        <v>1601.1770293820682</v>
      </c>
      <c r="D173" s="353">
        <f t="shared" si="85"/>
        <v>1505.5279148512411</v>
      </c>
      <c r="E173" s="353">
        <f t="shared" si="85"/>
        <v>1415.5925677194266</v>
      </c>
      <c r="F173" s="353">
        <f t="shared" si="86"/>
        <v>1374.4088014767035</v>
      </c>
      <c r="G173" s="353">
        <f t="shared" si="86"/>
        <v>1339.5943082009778</v>
      </c>
      <c r="H173" s="353">
        <f>C165</f>
        <v>1293.7733333333335</v>
      </c>
    </row>
    <row r="174" spans="2:20" x14ac:dyDescent="0.25">
      <c r="B174" s="355" t="s">
        <v>1314</v>
      </c>
      <c r="C174" s="353">
        <f t="shared" si="85"/>
        <v>1486.0247031295942</v>
      </c>
      <c r="D174" s="353">
        <f t="shared" si="85"/>
        <v>1444.5302016837002</v>
      </c>
      <c r="E174" s="353">
        <f t="shared" si="85"/>
        <v>1404.1943577262161</v>
      </c>
      <c r="F174" s="353">
        <f t="shared" si="86"/>
        <v>1378.8982865487592</v>
      </c>
      <c r="G174" s="353">
        <f t="shared" si="86"/>
        <v>1351.8878205058868</v>
      </c>
      <c r="H174" s="353">
        <f>C166</f>
        <v>1293.7733333333335</v>
      </c>
    </row>
    <row r="175" spans="2:20" x14ac:dyDescent="0.25">
      <c r="B175" s="304" t="s">
        <v>15</v>
      </c>
      <c r="C175" s="353">
        <f>SUBTOTAL(9,C171:C174)</f>
        <v>8239.3805141529483</v>
      </c>
      <c r="D175" s="353">
        <f>SUBTOTAL(9,D171:D174)</f>
        <v>7919.9544803710105</v>
      </c>
      <c r="E175" s="353">
        <f>SUBTOTAL(9,E171:E174)</f>
        <v>7619.1429303488376</v>
      </c>
      <c r="F175" s="353">
        <f>SUBTOTAL(9,F171:F174)</f>
        <v>7721.4656931832105</v>
      </c>
      <c r="G175" s="353">
        <f>SUBTOTAL(9,G171:G174)</f>
        <v>7579.2365547388945</v>
      </c>
      <c r="H175" s="353">
        <f>C167</f>
        <v>6741.2400000000007</v>
      </c>
    </row>
    <row r="177" spans="2:8" x14ac:dyDescent="0.25">
      <c r="B177" s="304" t="s">
        <v>1319</v>
      </c>
      <c r="C177" s="357">
        <f t="shared" ref="C177:F177" si="87">C175/D175</f>
        <v>1.0403318017260845</v>
      </c>
      <c r="D177" s="357">
        <f t="shared" si="87"/>
        <v>1.0394810220482897</v>
      </c>
      <c r="E177" s="357">
        <f t="shared" si="87"/>
        <v>0.98674827203794901</v>
      </c>
      <c r="F177" s="357">
        <f t="shared" si="87"/>
        <v>1.0187656286246123</v>
      </c>
      <c r="G177" s="357">
        <f>G175/H175</f>
        <v>1.1243089631490488</v>
      </c>
    </row>
    <row r="179" spans="2:8" x14ac:dyDescent="0.25">
      <c r="B179" s="491" t="s">
        <v>1353</v>
      </c>
      <c r="C179" s="491"/>
      <c r="D179" s="491"/>
      <c r="E179" s="491"/>
      <c r="F179" s="491"/>
      <c r="G179" s="491"/>
      <c r="H179" s="491"/>
    </row>
    <row r="180" spans="2:8" x14ac:dyDescent="0.25">
      <c r="B180" s="348" t="s">
        <v>1318</v>
      </c>
      <c r="C180" s="439">
        <f>D180*C177</f>
        <v>24967.819739857412</v>
      </c>
      <c r="D180" s="439">
        <f>E180*D177</f>
        <v>23999.862061730328</v>
      </c>
      <c r="E180" s="439">
        <f>F180*E177</f>
        <v>23088.311910147986</v>
      </c>
      <c r="F180" s="439">
        <f>G180*F177</f>
        <v>23398.380888433967</v>
      </c>
      <c r="G180" s="439">
        <f>H180*G177</f>
        <v>22967.383499208769</v>
      </c>
      <c r="H180" s="444">
        <f>'Income Statement (Y)'!H2</f>
        <v>20428</v>
      </c>
    </row>
    <row r="182" spans="2:8" x14ac:dyDescent="0.25">
      <c r="B182" s="491" t="s">
        <v>1354</v>
      </c>
      <c r="C182" s="491"/>
      <c r="D182" s="491"/>
      <c r="E182" s="491"/>
      <c r="F182" s="491"/>
      <c r="G182" s="491"/>
      <c r="H182" s="491"/>
    </row>
    <row r="183" spans="2:8" x14ac:dyDescent="0.25">
      <c r="B183" s="348" t="s">
        <v>1352</v>
      </c>
      <c r="C183" s="439">
        <f t="shared" ref="C183:H183" si="88">SUM(C184:C189)</f>
        <v>30165.521028305891</v>
      </c>
      <c r="D183" s="439">
        <f t="shared" si="88"/>
        <v>29526.668960742019</v>
      </c>
      <c r="E183" s="439">
        <f t="shared" si="88"/>
        <v>28925.045860697675</v>
      </c>
      <c r="F183" s="439">
        <f t="shared" si="88"/>
        <v>29129.691386366419</v>
      </c>
      <c r="G183" s="439">
        <f t="shared" si="88"/>
        <v>28845.233109477787</v>
      </c>
      <c r="H183" s="439">
        <f t="shared" si="88"/>
        <v>27169.24</v>
      </c>
    </row>
    <row r="184" spans="2:8" x14ac:dyDescent="0.25">
      <c r="B184" s="354" t="s">
        <v>1350</v>
      </c>
      <c r="C184" s="353">
        <f t="shared" ref="C184:H184" si="89">C175</f>
        <v>8239.3805141529483</v>
      </c>
      <c r="D184" s="353">
        <f t="shared" si="89"/>
        <v>7919.9544803710105</v>
      </c>
      <c r="E184" s="353">
        <f t="shared" si="89"/>
        <v>7619.1429303488376</v>
      </c>
      <c r="F184" s="353">
        <f t="shared" si="89"/>
        <v>7721.4656931832105</v>
      </c>
      <c r="G184" s="353">
        <f t="shared" si="89"/>
        <v>7579.2365547388945</v>
      </c>
      <c r="H184" s="353">
        <f t="shared" si="89"/>
        <v>6741.2400000000007</v>
      </c>
    </row>
    <row r="185" spans="2:8" x14ac:dyDescent="0.25">
      <c r="B185" s="421" t="s">
        <v>1310</v>
      </c>
      <c r="C185" s="353">
        <f t="shared" ref="C185:H185" si="90">C171</f>
        <v>3744.385090074059</v>
      </c>
      <c r="D185" s="353">
        <f t="shared" si="90"/>
        <v>3538.3207970890176</v>
      </c>
      <c r="E185" s="353">
        <f t="shared" si="90"/>
        <v>3343.5968154827356</v>
      </c>
      <c r="F185" s="353">
        <f t="shared" si="90"/>
        <v>3438.7283087750166</v>
      </c>
      <c r="G185" s="353">
        <f t="shared" si="90"/>
        <v>3394.8577523641961</v>
      </c>
      <c r="H185" s="353">
        <f t="shared" si="90"/>
        <v>2859.92</v>
      </c>
    </row>
    <row r="186" spans="2:8" x14ac:dyDescent="0.25">
      <c r="B186" s="421" t="s">
        <v>1312</v>
      </c>
      <c r="C186" s="353">
        <f>C172</f>
        <v>1407.793691567226</v>
      </c>
      <c r="D186" s="353">
        <f t="shared" ref="D186:H186" si="91">D172</f>
        <v>1431.5755667470512</v>
      </c>
      <c r="E186" s="353">
        <f t="shared" si="91"/>
        <v>1455.7591894204593</v>
      </c>
      <c r="F186" s="353">
        <f t="shared" si="91"/>
        <v>1529.4302963827306</v>
      </c>
      <c r="G186" s="353">
        <f t="shared" si="91"/>
        <v>1492.8966736678337</v>
      </c>
      <c r="H186" s="353">
        <f t="shared" si="91"/>
        <v>1293.7733333333335</v>
      </c>
    </row>
    <row r="187" spans="2:8" x14ac:dyDescent="0.25">
      <c r="B187" s="421" t="s">
        <v>1313</v>
      </c>
      <c r="C187" s="353">
        <f t="shared" ref="C187:H188" si="92">C173</f>
        <v>1601.1770293820682</v>
      </c>
      <c r="D187" s="353">
        <f t="shared" si="92"/>
        <v>1505.5279148512411</v>
      </c>
      <c r="E187" s="353">
        <f t="shared" si="92"/>
        <v>1415.5925677194266</v>
      </c>
      <c r="F187" s="353">
        <f t="shared" si="92"/>
        <v>1374.4088014767035</v>
      </c>
      <c r="G187" s="353">
        <f t="shared" si="92"/>
        <v>1339.5943082009778</v>
      </c>
      <c r="H187" s="353">
        <f t="shared" si="92"/>
        <v>1293.7733333333335</v>
      </c>
    </row>
    <row r="188" spans="2:8" x14ac:dyDescent="0.25">
      <c r="B188" s="421" t="s">
        <v>1314</v>
      </c>
      <c r="C188" s="353">
        <f t="shared" si="92"/>
        <v>1486.0247031295942</v>
      </c>
      <c r="D188" s="353">
        <f t="shared" si="92"/>
        <v>1444.5302016837002</v>
      </c>
      <c r="E188" s="353">
        <f t="shared" si="92"/>
        <v>1404.1943577262161</v>
      </c>
      <c r="F188" s="353">
        <f t="shared" si="92"/>
        <v>1378.8982865487592</v>
      </c>
      <c r="G188" s="353">
        <f t="shared" si="92"/>
        <v>1351.8878205058868</v>
      </c>
      <c r="H188" s="353">
        <f t="shared" si="92"/>
        <v>1293.7733333333335</v>
      </c>
    </row>
    <row r="189" spans="2:8" x14ac:dyDescent="0.25">
      <c r="B189" s="354" t="s">
        <v>1351</v>
      </c>
      <c r="C189" s="353">
        <f t="shared" ref="C189:F189" si="93">D189</f>
        <v>13686.759999999998</v>
      </c>
      <c r="D189" s="353">
        <f t="shared" si="93"/>
        <v>13686.759999999998</v>
      </c>
      <c r="E189" s="353">
        <f t="shared" si="93"/>
        <v>13686.759999999998</v>
      </c>
      <c r="F189" s="353">
        <f t="shared" si="93"/>
        <v>13686.759999999998</v>
      </c>
      <c r="G189" s="353">
        <f>H189</f>
        <v>13686.759999999998</v>
      </c>
      <c r="H189" s="353">
        <f>H180-H184</f>
        <v>13686.759999999998</v>
      </c>
    </row>
    <row r="194" spans="2:26" ht="21" x14ac:dyDescent="0.35">
      <c r="B194" s="492" t="s">
        <v>1308</v>
      </c>
      <c r="C194" s="493"/>
      <c r="D194" s="493"/>
      <c r="E194" s="493"/>
      <c r="F194" s="493"/>
      <c r="G194" s="493"/>
      <c r="H194" s="493"/>
      <c r="I194" s="493"/>
      <c r="J194" s="493"/>
      <c r="K194" s="493"/>
      <c r="L194" s="493"/>
      <c r="M194" s="493"/>
      <c r="N194" s="493"/>
      <c r="O194" s="493"/>
      <c r="P194" s="493"/>
      <c r="Q194" s="493"/>
      <c r="R194" s="493"/>
      <c r="S194" s="493"/>
      <c r="T194" s="493"/>
      <c r="U194" s="493"/>
      <c r="V194" s="493"/>
      <c r="W194" s="493"/>
      <c r="X194" s="493"/>
      <c r="Y194" s="493"/>
      <c r="Z194" s="494"/>
    </row>
    <row r="196" spans="2:26" ht="15.75" thickBot="1" x14ac:dyDescent="0.3"/>
    <row r="197" spans="2:26" ht="15.75" thickBot="1" x14ac:dyDescent="0.3">
      <c r="B197" s="422" t="s">
        <v>1356</v>
      </c>
      <c r="C197" s="440">
        <v>0</v>
      </c>
    </row>
    <row r="198" spans="2:26" x14ac:dyDescent="0.25">
      <c r="B198" s="22" t="s">
        <v>1364</v>
      </c>
    </row>
    <row r="201" spans="2:26" x14ac:dyDescent="0.25">
      <c r="B201" s="22" t="s">
        <v>1355</v>
      </c>
      <c r="C201" s="397">
        <v>2022</v>
      </c>
      <c r="D201" s="397">
        <v>2021</v>
      </c>
      <c r="E201" s="397">
        <v>2020</v>
      </c>
      <c r="F201" s="397">
        <v>2019</v>
      </c>
      <c r="G201" s="397">
        <v>2018</v>
      </c>
    </row>
    <row r="202" spans="2:26" x14ac:dyDescent="0.25">
      <c r="B202" s="304" t="s">
        <v>296</v>
      </c>
      <c r="C202" s="353">
        <f>-'Segment Earnings'!$M$69+Predictions!D202</f>
        <v>2940.5</v>
      </c>
      <c r="D202" s="353">
        <f>-'Segment Earnings'!$M$69+Predictions!E202</f>
        <v>2352.4</v>
      </c>
      <c r="E202" s="353">
        <f>-'Segment Earnings'!$M$69+Predictions!F202</f>
        <v>1764.3000000000002</v>
      </c>
      <c r="F202" s="353">
        <f>-'Segment Earnings'!$M$69+Predictions!G202</f>
        <v>1176.2</v>
      </c>
      <c r="G202" s="353">
        <f>-'Segment Earnings'!$M$69+Predictions!H202</f>
        <v>588.1</v>
      </c>
      <c r="H202" s="396">
        <v>0</v>
      </c>
    </row>
    <row r="203" spans="2:26" x14ac:dyDescent="0.25">
      <c r="B203" s="304" t="s">
        <v>336</v>
      </c>
      <c r="C203" s="353">
        <f>-'Segment Earnings'!$M$72+D203</f>
        <v>43</v>
      </c>
      <c r="D203" s="353">
        <f>-'Segment Earnings'!$M$72+E203</f>
        <v>34.4</v>
      </c>
      <c r="E203" s="353">
        <f>-'Segment Earnings'!$M$72+F203</f>
        <v>25.799999999999997</v>
      </c>
      <c r="F203" s="353">
        <f>-'Segment Earnings'!$M$72+G203</f>
        <v>17.2</v>
      </c>
      <c r="G203" s="353">
        <f>-'Segment Earnings'!$M$72+H203</f>
        <v>8.6</v>
      </c>
      <c r="H203" s="410">
        <v>0</v>
      </c>
    </row>
    <row r="204" spans="2:26" x14ac:dyDescent="0.25">
      <c r="B204" s="304" t="s">
        <v>291</v>
      </c>
      <c r="C204" s="353">
        <f>-'Segment Earnings'!$M$73+Predictions!D204</f>
        <v>243</v>
      </c>
      <c r="D204" s="353">
        <f>-'Segment Earnings'!$M$73+Predictions!E204</f>
        <v>194.4</v>
      </c>
      <c r="E204" s="353">
        <f>-'Segment Earnings'!$M$73+Predictions!F204</f>
        <v>145.80000000000001</v>
      </c>
      <c r="F204" s="353">
        <f>-'Segment Earnings'!$M$73+Predictions!G204</f>
        <v>97.2</v>
      </c>
      <c r="G204" s="353">
        <f>-'Segment Earnings'!$M$73+Predictions!H204</f>
        <v>48.6</v>
      </c>
      <c r="H204" s="410">
        <v>0</v>
      </c>
    </row>
    <row r="205" spans="2:26" x14ac:dyDescent="0.25">
      <c r="B205" s="304" t="s">
        <v>854</v>
      </c>
      <c r="C205" s="353">
        <f>-'Segment Earnings'!$M$80+D205</f>
        <v>2909.5</v>
      </c>
      <c r="D205" s="353">
        <f>-'Segment Earnings'!$M$80+E205</f>
        <v>2327.6</v>
      </c>
      <c r="E205" s="353">
        <f>-'Segment Earnings'!$M$80+F205</f>
        <v>1745.6999999999998</v>
      </c>
      <c r="F205" s="353">
        <f>-'Segment Earnings'!$M$80+G205</f>
        <v>1163.8</v>
      </c>
      <c r="G205" s="353">
        <f>-'Segment Earnings'!$M$80+H205</f>
        <v>581.9</v>
      </c>
      <c r="H205" s="410">
        <v>0</v>
      </c>
    </row>
    <row r="206" spans="2:26" x14ac:dyDescent="0.25">
      <c r="B206" s="354" t="s">
        <v>1010</v>
      </c>
      <c r="C206" s="353">
        <f t="shared" ref="C206:F206" si="94">C205-C207</f>
        <v>2273.048810550873</v>
      </c>
      <c r="D206" s="353">
        <f t="shared" si="94"/>
        <v>1833.3520745960964</v>
      </c>
      <c r="E206" s="353">
        <f t="shared" si="94"/>
        <v>1386.0818425121615</v>
      </c>
      <c r="F206" s="353">
        <f t="shared" si="94"/>
        <v>931.35631452713005</v>
      </c>
      <c r="G206" s="353">
        <f>G205-G207</f>
        <v>469.2912439170089</v>
      </c>
      <c r="H206" s="410">
        <v>0</v>
      </c>
    </row>
    <row r="207" spans="2:26" x14ac:dyDescent="0.25">
      <c r="B207" s="354" t="s">
        <v>1009</v>
      </c>
      <c r="C207" s="353">
        <f>C205*C53</f>
        <v>636.45118944912701</v>
      </c>
      <c r="D207" s="353">
        <f>D205*D53</f>
        <v>494.24792540390342</v>
      </c>
      <c r="E207" s="353">
        <f>E205*E53</f>
        <v>359.61815748783823</v>
      </c>
      <c r="F207" s="353">
        <f>F205*F53</f>
        <v>232.44368547286996</v>
      </c>
      <c r="G207" s="353">
        <f>G205*G53</f>
        <v>112.60875608299109</v>
      </c>
      <c r="H207" s="410">
        <v>0</v>
      </c>
    </row>
  </sheetData>
  <mergeCells count="14">
    <mergeCell ref="B85:Z85"/>
    <mergeCell ref="B76:Z76"/>
    <mergeCell ref="B35:Z35"/>
    <mergeCell ref="B2:Z2"/>
    <mergeCell ref="H58:K58"/>
    <mergeCell ref="C74:G74"/>
    <mergeCell ref="B182:H182"/>
    <mergeCell ref="B179:H179"/>
    <mergeCell ref="B194:Z194"/>
    <mergeCell ref="B87:Z87"/>
    <mergeCell ref="B147:Z147"/>
    <mergeCell ref="H152:O152"/>
    <mergeCell ref="H161:L161"/>
    <mergeCell ref="O161:S161"/>
  </mergeCells>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B2C89-F4A9-4878-BA62-2FEDF8340DC8}">
  <sheetPr codeName="Sheet17">
    <tabColor theme="9" tint="0.39997558519241921"/>
  </sheetPr>
  <dimension ref="A1:R91"/>
  <sheetViews>
    <sheetView zoomScaleNormal="100" workbookViewId="0">
      <pane ySplit="1" topLeftCell="A2" activePane="bottomLeft" state="frozen"/>
      <selection pane="bottomLeft"/>
    </sheetView>
  </sheetViews>
  <sheetFormatPr defaultColWidth="8.7109375" defaultRowHeight="15" x14ac:dyDescent="0.25"/>
  <cols>
    <col min="1" max="1" width="8.7109375" style="22"/>
    <col min="2" max="2" width="18.5703125" style="22" bestFit="1" customWidth="1"/>
    <col min="3" max="3" width="10.85546875" style="22" bestFit="1" customWidth="1"/>
    <col min="4" max="7" width="9.42578125" style="22" bestFit="1" customWidth="1"/>
    <col min="8" max="12" width="8.42578125" style="22" bestFit="1" customWidth="1"/>
    <col min="13" max="15" width="8.7109375" style="22"/>
    <col min="16" max="16" width="9.7109375" style="22" customWidth="1"/>
    <col min="17" max="17" width="55.42578125" style="22" bestFit="1" customWidth="1"/>
    <col min="18" max="16384" width="8.7109375" style="22"/>
  </cols>
  <sheetData>
    <row r="1" spans="1:18" ht="16.5" thickBot="1" x14ac:dyDescent="0.3">
      <c r="B1" s="349" t="s">
        <v>0</v>
      </c>
      <c r="C1" s="350">
        <v>2022</v>
      </c>
      <c r="D1" s="350">
        <v>2021</v>
      </c>
      <c r="E1" s="350">
        <v>2020</v>
      </c>
      <c r="F1" s="350">
        <v>2019</v>
      </c>
      <c r="G1" s="350">
        <v>2018</v>
      </c>
      <c r="H1" s="350">
        <v>2017</v>
      </c>
      <c r="I1" s="350">
        <v>2016</v>
      </c>
      <c r="J1" s="350">
        <v>2015</v>
      </c>
      <c r="K1" s="350">
        <v>2014</v>
      </c>
      <c r="L1" s="350">
        <v>2013</v>
      </c>
      <c r="M1" s="350">
        <v>2012</v>
      </c>
      <c r="N1" s="351" t="s">
        <v>1229</v>
      </c>
      <c r="O1" s="351" t="s">
        <v>1116</v>
      </c>
      <c r="P1" s="351" t="s">
        <v>1025</v>
      </c>
      <c r="Q1" s="352" t="s">
        <v>886</v>
      </c>
    </row>
    <row r="2" spans="1:18" ht="15.75" thickBot="1" x14ac:dyDescent="0.3"/>
    <row r="3" spans="1:18" ht="15.75" thickBot="1" x14ac:dyDescent="0.3">
      <c r="B3" s="506" t="s">
        <v>1252</v>
      </c>
      <c r="C3" s="507"/>
      <c r="D3" s="507"/>
      <c r="E3" s="507"/>
      <c r="F3" s="507"/>
      <c r="G3" s="507"/>
      <c r="H3" s="507"/>
      <c r="I3" s="507"/>
      <c r="J3" s="507"/>
      <c r="K3" s="507"/>
      <c r="L3" s="507"/>
      <c r="M3" s="507"/>
      <c r="N3" s="507"/>
      <c r="O3" s="507"/>
      <c r="P3" s="507"/>
      <c r="Q3" s="508"/>
    </row>
    <row r="4" spans="1:18" x14ac:dyDescent="0.25">
      <c r="A4" s="369"/>
      <c r="B4" s="369"/>
      <c r="C4" s="369"/>
      <c r="D4" s="369"/>
      <c r="E4" s="369"/>
      <c r="F4" s="369"/>
      <c r="G4" s="369"/>
      <c r="H4" s="369"/>
      <c r="I4" s="369"/>
      <c r="J4" s="369"/>
      <c r="K4" s="369"/>
      <c r="L4" s="369"/>
      <c r="M4" s="369"/>
      <c r="N4" s="369"/>
      <c r="O4" s="369"/>
      <c r="P4" s="369"/>
      <c r="Q4" s="369"/>
      <c r="R4" s="369"/>
    </row>
    <row r="5" spans="1:18" x14ac:dyDescent="0.25">
      <c r="B5" s="304" t="s">
        <v>1240</v>
      </c>
      <c r="C5" s="353">
        <f>'N15 Stock'!C5/M</f>
        <v>138.63055480000114</v>
      </c>
      <c r="D5" s="353">
        <f>'N15 Stock'!D5/M</f>
        <v>144.06428299999999</v>
      </c>
      <c r="E5" s="353">
        <f>'N15 Stock'!E5/M</f>
        <v>149.49801120000078</v>
      </c>
      <c r="F5" s="353">
        <f>'N15 Stock'!F5/M</f>
        <v>154.93173939999963</v>
      </c>
      <c r="G5" s="353">
        <f>'N15 Stock'!G5/M</f>
        <v>160.36546760000039</v>
      </c>
      <c r="H5" s="353">
        <f>'N15 Stock'!H5/M</f>
        <v>166.62531999999999</v>
      </c>
      <c r="I5" s="375">
        <f>'N15 Stock'!I5/M</f>
        <v>169.03841</v>
      </c>
      <c r="J5" s="375">
        <f>'N15 Stock'!J5/M</f>
        <v>178.03758099999999</v>
      </c>
      <c r="K5" s="375">
        <f>'N15 Stock'!K5/M</f>
        <v>182.63756799999999</v>
      </c>
      <c r="L5" s="375">
        <f>'N15 Stock'!L5/M</f>
        <v>186.994382</v>
      </c>
      <c r="M5" s="496"/>
      <c r="N5" s="496"/>
      <c r="O5" s="496"/>
      <c r="P5" s="496"/>
      <c r="Q5" s="304" t="s">
        <v>1286</v>
      </c>
    </row>
    <row r="6" spans="1:18" x14ac:dyDescent="0.25">
      <c r="B6" s="304" t="s">
        <v>1253</v>
      </c>
      <c r="C6" s="497"/>
      <c r="D6" s="498"/>
      <c r="E6" s="498"/>
      <c r="F6" s="498"/>
      <c r="G6" s="499"/>
      <c r="H6" s="353">
        <v>176.64</v>
      </c>
      <c r="I6" s="353">
        <v>142.21443199999999</v>
      </c>
      <c r="J6" s="353">
        <v>84.042152000000002</v>
      </c>
      <c r="K6" s="353">
        <v>129.19688400000001</v>
      </c>
      <c r="L6" s="353">
        <v>113.12361900000001</v>
      </c>
    </row>
    <row r="8" spans="1:18" x14ac:dyDescent="0.25">
      <c r="B8" s="31" t="s">
        <v>1254</v>
      </c>
      <c r="C8" s="371">
        <v>7.0000000000000007E-2</v>
      </c>
    </row>
    <row r="9" spans="1:18" x14ac:dyDescent="0.25">
      <c r="B9" s="304" t="s">
        <v>1280</v>
      </c>
      <c r="C9" s="363">
        <f t="shared" ref="C9:F9" si="0">D9*(1-$C$8)</f>
        <v>0.69568836929999989</v>
      </c>
      <c r="D9" s="363">
        <f t="shared" si="0"/>
        <v>0.74805200999999988</v>
      </c>
      <c r="E9" s="363">
        <f t="shared" si="0"/>
        <v>0.80435699999999988</v>
      </c>
      <c r="F9" s="363">
        <f t="shared" si="0"/>
        <v>0.86489999999999989</v>
      </c>
      <c r="G9" s="363">
        <f>H9*(1-$C$8)</f>
        <v>0.92999999999999994</v>
      </c>
      <c r="H9" s="363">
        <v>1</v>
      </c>
    </row>
    <row r="10" spans="1:18" x14ac:dyDescent="0.25">
      <c r="C10" s="341"/>
    </row>
    <row r="11" spans="1:18" x14ac:dyDescent="0.25">
      <c r="B11" s="304" t="s">
        <v>1255</v>
      </c>
      <c r="C11" s="372">
        <f>Financing!H19</f>
        <v>0.10259535008298765</v>
      </c>
    </row>
    <row r="12" spans="1:18" ht="15.75" thickBot="1" x14ac:dyDescent="0.3"/>
    <row r="13" spans="1:18" ht="15.75" thickBot="1" x14ac:dyDescent="0.3">
      <c r="B13" s="506" t="s">
        <v>28</v>
      </c>
      <c r="C13" s="507"/>
      <c r="D13" s="507"/>
      <c r="E13" s="507"/>
      <c r="F13" s="507"/>
      <c r="G13" s="507"/>
      <c r="H13" s="507"/>
      <c r="I13" s="507"/>
      <c r="J13" s="507"/>
      <c r="K13" s="507"/>
      <c r="L13" s="507"/>
      <c r="M13" s="507"/>
      <c r="N13" s="507"/>
      <c r="O13" s="507"/>
      <c r="P13" s="507"/>
      <c r="Q13" s="508"/>
    </row>
    <row r="15" spans="1:18" x14ac:dyDescent="0.25">
      <c r="B15" s="304" t="s">
        <v>1250</v>
      </c>
      <c r="C15" s="305">
        <v>17.29</v>
      </c>
    </row>
    <row r="16" spans="1:18" x14ac:dyDescent="0.25">
      <c r="B16" s="370"/>
      <c r="C16" s="370"/>
    </row>
    <row r="17" spans="2:17" ht="15.75" thickBot="1" x14ac:dyDescent="0.3">
      <c r="B17" s="304" t="s">
        <v>20</v>
      </c>
      <c r="C17" s="353">
        <f>$C$15*'Income Statement (Y)'!C38</f>
        <v>27518.38162794193</v>
      </c>
      <c r="D17" s="353">
        <f>$C$15*'Income Statement (Y)'!D38</f>
        <v>28541.419158435277</v>
      </c>
      <c r="E17" s="353">
        <f>$C$15*'Income Statement (Y)'!E38</f>
        <v>29717.137968110757</v>
      </c>
      <c r="F17" s="353">
        <f>$C$15*'Income Statement (Y)'!F38</f>
        <v>30953.019403813531</v>
      </c>
      <c r="G17" s="375">
        <f>$C$15*'Income Statement (Y)'!G38</f>
        <v>36738.048126567235</v>
      </c>
      <c r="H17" s="353">
        <f>$C$15*'Income Statement (Y)'!H38</f>
        <v>17272.71</v>
      </c>
      <c r="I17" s="353">
        <f>$C$15*'Income Statement (Y)'!I38</f>
        <v>24102.26</v>
      </c>
      <c r="J17" s="353">
        <f>$C$15*'Income Statement (Y)'!J38</f>
        <v>24188.71</v>
      </c>
      <c r="K17" s="353">
        <f>$C$15*'Income Statement (Y)'!K38</f>
        <v>28545.789999999997</v>
      </c>
      <c r="L17" s="353">
        <f>$C$15*'Income Statement (Y)'!L38</f>
        <v>25641.07</v>
      </c>
    </row>
    <row r="18" spans="2:17" ht="15.75" thickBot="1" x14ac:dyDescent="0.3">
      <c r="B18" s="304" t="s">
        <v>1251</v>
      </c>
      <c r="C18" s="353">
        <f t="shared" ref="C18:L18" si="1">C17/C5</f>
        <v>198.50156170580155</v>
      </c>
      <c r="D18" s="353">
        <f t="shared" si="1"/>
        <v>198.115858865832</v>
      </c>
      <c r="E18" s="353">
        <f t="shared" si="1"/>
        <v>198.77948696156705</v>
      </c>
      <c r="F18" s="376">
        <f t="shared" si="1"/>
        <v>199.78488283733554</v>
      </c>
      <c r="G18" s="378">
        <f t="shared" si="1"/>
        <v>229.08952080757783</v>
      </c>
      <c r="H18" s="377">
        <f t="shared" si="1"/>
        <v>103.66197646312098</v>
      </c>
      <c r="I18" s="353">
        <f t="shared" si="1"/>
        <v>142.58451673794139</v>
      </c>
      <c r="J18" s="353">
        <f t="shared" si="1"/>
        <v>135.86294457685312</v>
      </c>
      <c r="K18" s="353">
        <f t="shared" si="1"/>
        <v>156.29747106575576</v>
      </c>
      <c r="L18" s="353">
        <f t="shared" si="1"/>
        <v>137.1221409207898</v>
      </c>
    </row>
    <row r="20" spans="2:17" ht="15.75" thickBot="1" x14ac:dyDescent="0.3"/>
    <row r="21" spans="2:17" ht="15.75" thickBot="1" x14ac:dyDescent="0.3">
      <c r="B21" s="506" t="s">
        <v>1249</v>
      </c>
      <c r="C21" s="507"/>
      <c r="D21" s="507"/>
      <c r="E21" s="507"/>
      <c r="F21" s="507"/>
      <c r="G21" s="507"/>
      <c r="H21" s="507"/>
      <c r="I21" s="507"/>
      <c r="J21" s="507"/>
      <c r="K21" s="507"/>
      <c r="L21" s="507"/>
      <c r="M21" s="507"/>
      <c r="N21" s="507"/>
      <c r="O21" s="507"/>
      <c r="P21" s="507"/>
      <c r="Q21" s="508"/>
    </row>
    <row r="22" spans="2:17" x14ac:dyDescent="0.25">
      <c r="B22" s="343"/>
    </row>
    <row r="23" spans="2:17" x14ac:dyDescent="0.25">
      <c r="B23" s="345" t="s">
        <v>1256</v>
      </c>
      <c r="C23" s="496"/>
      <c r="D23" s="496"/>
      <c r="E23" s="496"/>
      <c r="F23" s="496"/>
      <c r="G23" s="496"/>
      <c r="H23" s="373">
        <f>C51</f>
        <v>23851.772762640005</v>
      </c>
      <c r="I23" s="353">
        <f t="shared" ref="I23:K23" si="2">I6*I5</f>
        <v>24039.701464333117</v>
      </c>
      <c r="J23" s="353">
        <f t="shared" si="2"/>
        <v>14962.661444114312</v>
      </c>
      <c r="K23" s="353">
        <f t="shared" si="2"/>
        <v>23596.204686938112</v>
      </c>
      <c r="L23" s="353">
        <f>L6*L5</f>
        <v>21153.481224508458</v>
      </c>
    </row>
    <row r="24" spans="2:17" x14ac:dyDescent="0.25">
      <c r="B24" s="304" t="s">
        <v>1257</v>
      </c>
      <c r="C24" s="496"/>
      <c r="D24" s="496"/>
      <c r="E24" s="496"/>
      <c r="F24" s="496"/>
      <c r="G24" s="496"/>
      <c r="H24" s="374">
        <f>H23/'Income Statement (Y)'!H38</f>
        <v>23.875648411051056</v>
      </c>
      <c r="I24" s="356">
        <f>I23/'Income Statement (Y)'!I38</f>
        <v>17.245123001673687</v>
      </c>
      <c r="J24" s="356">
        <f>J23/'Income Statement (Y)'!J38</f>
        <v>10.695254784928029</v>
      </c>
      <c r="K24" s="356">
        <f>K23/'Income Statement (Y)'!K38</f>
        <v>14.292068253748099</v>
      </c>
      <c r="L24" s="356">
        <f>L23/'Income Statement (Y)'!L38</f>
        <v>14.2639792478142</v>
      </c>
    </row>
    <row r="25" spans="2:17" x14ac:dyDescent="0.25">
      <c r="H25" s="344"/>
    </row>
    <row r="26" spans="2:17" x14ac:dyDescent="0.25">
      <c r="B26" s="319" t="s">
        <v>1258</v>
      </c>
      <c r="H26" s="380"/>
      <c r="I26" s="380"/>
      <c r="J26" s="380"/>
      <c r="K26" s="380"/>
      <c r="L26" s="380"/>
      <c r="M26" s="380"/>
    </row>
    <row r="27" spans="2:17" x14ac:dyDescent="0.25">
      <c r="B27" s="379" t="s">
        <v>1250</v>
      </c>
      <c r="C27" s="353">
        <f t="shared" ref="C27:E27" si="3">$N27*D27</f>
        <v>45.456738350762748</v>
      </c>
      <c r="D27" s="353">
        <f t="shared" si="3"/>
        <v>39.96406452536575</v>
      </c>
      <c r="E27" s="353">
        <f t="shared" si="3"/>
        <v>35.135086927344361</v>
      </c>
      <c r="F27" s="353">
        <f>$N27*G27</f>
        <v>30.88960915395646</v>
      </c>
      <c r="G27" s="353">
        <f>$N27*H24</f>
        <v>27.157125173969515</v>
      </c>
      <c r="H27" s="510"/>
      <c r="I27" s="510"/>
      <c r="J27" s="510"/>
      <c r="K27" s="510"/>
      <c r="L27" s="510"/>
      <c r="M27" s="510"/>
      <c r="N27" s="363">
        <f>(H24/L24)^(1/4)</f>
        <v>1.1374403202134438</v>
      </c>
      <c r="O27" s="304"/>
      <c r="P27" s="304" t="s">
        <v>1260</v>
      </c>
    </row>
    <row r="28" spans="2:17" x14ac:dyDescent="0.25">
      <c r="B28" s="379" t="s">
        <v>26</v>
      </c>
      <c r="C28" s="353">
        <f>C27*'Income Statement (Y)'!C38/C5</f>
        <v>521.87585614102989</v>
      </c>
      <c r="D28" s="353">
        <f>D27*'Income Statement (Y)'!D38/D5</f>
        <v>457.92452094924033</v>
      </c>
      <c r="E28" s="353">
        <f>E27*'Income Statement (Y)'!E38/E5</f>
        <v>403.94069136885901</v>
      </c>
      <c r="F28" s="353">
        <f>F27*'Income Statement (Y)'!F38/F5</f>
        <v>356.92752722465474</v>
      </c>
      <c r="G28" s="353">
        <f>G27*'Income Statement (Y)'!G38/G5</f>
        <v>359.82722918543004</v>
      </c>
      <c r="H28" s="344"/>
    </row>
    <row r="29" spans="2:17" x14ac:dyDescent="0.25">
      <c r="B29" s="343"/>
      <c r="C29" s="342"/>
      <c r="D29" s="342"/>
      <c r="E29" s="342"/>
      <c r="F29" s="342"/>
      <c r="G29" s="342"/>
      <c r="H29" s="344"/>
    </row>
    <row r="30" spans="2:17" x14ac:dyDescent="0.25">
      <c r="B30" s="319" t="s">
        <v>1259</v>
      </c>
      <c r="C30" s="342"/>
      <c r="D30" s="342"/>
      <c r="E30" s="342"/>
      <c r="F30" s="342"/>
      <c r="G30" s="342"/>
      <c r="H30" s="344"/>
    </row>
    <row r="31" spans="2:17" ht="15.75" thickBot="1" x14ac:dyDescent="0.3">
      <c r="B31" s="379" t="s">
        <v>20</v>
      </c>
      <c r="C31" s="353">
        <f>$N31*'Income Statement (Y)'!C38</f>
        <v>24727.095401266208</v>
      </c>
      <c r="D31" s="353">
        <f>$N31*'Income Statement (Y)'!D38</f>
        <v>25646.362637167127</v>
      </c>
      <c r="E31" s="353">
        <f>$N31*'Income Statement (Y)'!E38</f>
        <v>26702.824153144837</v>
      </c>
      <c r="F31" s="353">
        <f>$N31*'Income Statement (Y)'!F38</f>
        <v>27813.345788408675</v>
      </c>
      <c r="G31" s="375">
        <f>$N31*'Income Statement (Y)'!G38</f>
        <v>33011.578702707222</v>
      </c>
      <c r="H31" s="510"/>
      <c r="I31" s="510"/>
      <c r="J31" s="510"/>
      <c r="K31" s="510"/>
      <c r="L31" s="510"/>
      <c r="M31" s="510"/>
      <c r="N31" s="363">
        <f>SUM(H23:L23)/SUM('Income Statement (Y)'!H38:L38)</f>
        <v>15.536214493579845</v>
      </c>
      <c r="O31" s="304"/>
      <c r="P31" s="304" t="s">
        <v>862</v>
      </c>
    </row>
    <row r="32" spans="2:17" ht="15.75" thickBot="1" x14ac:dyDescent="0.3">
      <c r="B32" s="379" t="s">
        <v>26</v>
      </c>
      <c r="C32" s="356">
        <f t="shared" ref="C32:F32" si="4">C31/C5</f>
        <v>178.36685020080441</v>
      </c>
      <c r="D32" s="356">
        <f t="shared" si="4"/>
        <v>178.02027055635386</v>
      </c>
      <c r="E32" s="356">
        <f t="shared" si="4"/>
        <v>178.61658452045481</v>
      </c>
      <c r="F32" s="384">
        <f t="shared" si="4"/>
        <v>179.51999955671278</v>
      </c>
      <c r="G32" s="385">
        <f>G31/G5</f>
        <v>205.85216503747557</v>
      </c>
    </row>
    <row r="33" spans="1:17" ht="15.75" thickBot="1" x14ac:dyDescent="0.3"/>
    <row r="34" spans="1:17" ht="15.75" thickBot="1" x14ac:dyDescent="0.3">
      <c r="B34" s="506" t="s">
        <v>29</v>
      </c>
      <c r="C34" s="507"/>
      <c r="D34" s="507"/>
      <c r="E34" s="507"/>
      <c r="F34" s="507"/>
      <c r="G34" s="507"/>
      <c r="H34" s="507"/>
      <c r="I34" s="507"/>
      <c r="J34" s="507"/>
      <c r="K34" s="507"/>
      <c r="L34" s="507"/>
      <c r="M34" s="507"/>
      <c r="N34" s="507"/>
      <c r="O34" s="507"/>
      <c r="P34" s="507"/>
      <c r="Q34" s="508"/>
    </row>
    <row r="35" spans="1:17" x14ac:dyDescent="0.25">
      <c r="B35" s="343"/>
    </row>
    <row r="36" spans="1:17" x14ac:dyDescent="0.25">
      <c r="B36" s="343"/>
      <c r="C36" s="347">
        <v>2023</v>
      </c>
      <c r="D36" s="347">
        <v>2022</v>
      </c>
      <c r="E36" s="347">
        <v>2021</v>
      </c>
      <c r="F36" s="347">
        <v>2020</v>
      </c>
      <c r="G36" s="347">
        <v>2019</v>
      </c>
      <c r="H36" s="347">
        <v>2018</v>
      </c>
      <c r="I36" s="347">
        <v>2017</v>
      </c>
      <c r="J36" s="347">
        <v>2016</v>
      </c>
      <c r="K36" s="347">
        <v>2015</v>
      </c>
      <c r="L36" s="347">
        <v>2014</v>
      </c>
      <c r="M36" s="347">
        <v>2013</v>
      </c>
    </row>
    <row r="37" spans="1:17" x14ac:dyDescent="0.25">
      <c r="B37" s="345" t="s">
        <v>85</v>
      </c>
      <c r="C37" s="353">
        <f>D37*(1+Financing!$C$22)</f>
        <v>16.505793394228043</v>
      </c>
      <c r="D37" s="356">
        <f>'Cash Flow (Y)'!C87/C5</f>
        <v>14.521758924958458</v>
      </c>
      <c r="E37" s="356">
        <f>'Cash Flow (Y)'!D87/D5</f>
        <v>13.686532684751841</v>
      </c>
      <c r="F37" s="356">
        <f>'Cash Flow (Y)'!E87/E5</f>
        <v>12.997765468386477</v>
      </c>
      <c r="G37" s="356">
        <f>'Cash Flow (Y)'!F87/F5</f>
        <v>12.40361502284874</v>
      </c>
      <c r="H37" s="356">
        <f>'Cash Flow (Y)'!G87/G5</f>
        <v>15.80006687688914</v>
      </c>
      <c r="I37" s="356">
        <f>'Cash Flow (Y)'!H87/H5</f>
        <v>10.628636752205487</v>
      </c>
      <c r="J37" s="356">
        <f>'Cash Flow (Y)'!I87/I5</f>
        <v>8.3294678410664176</v>
      </c>
      <c r="K37" s="356">
        <f>'Cash Flow (Y)'!J87/J5</f>
        <v>7.4197817819149101</v>
      </c>
      <c r="L37" s="356">
        <f>'Cash Flow (Y)'!K87/K5</f>
        <v>8.3389196246853228</v>
      </c>
      <c r="M37" s="356">
        <f>'Cash Flow (Y)'!L87/L5</f>
        <v>7.5563767471901908</v>
      </c>
    </row>
    <row r="38" spans="1:17" x14ac:dyDescent="0.25">
      <c r="B38" s="345" t="s">
        <v>1268</v>
      </c>
      <c r="C38" s="360">
        <f>1/((1+$C$8)^(C36-$H$1))</f>
        <v>0.66634222381651254</v>
      </c>
      <c r="D38" s="360">
        <f>1/((1+$C$8)^(D36-$H$1))</f>
        <v>0.71298617948366838</v>
      </c>
      <c r="E38" s="360">
        <f>1/((1+$C$8)^(D1-$H$1))</f>
        <v>0.7628952120475252</v>
      </c>
      <c r="F38" s="360">
        <f>1/((1+$C$8)^(E1-$H$1))</f>
        <v>0.81629787689085187</v>
      </c>
      <c r="G38" s="360">
        <f>1/((1+$C$8)^(F1-$H$1))</f>
        <v>0.87343872827321156</v>
      </c>
      <c r="H38" s="360">
        <f>1/((1+$C$8)^(G1-$H$1))</f>
        <v>0.93457943925233644</v>
      </c>
      <c r="I38" s="497"/>
      <c r="J38" s="498"/>
      <c r="K38" s="498"/>
      <c r="L38" s="498"/>
      <c r="M38" s="499"/>
    </row>
    <row r="39" spans="1:17" x14ac:dyDescent="0.25">
      <c r="A39" s="381"/>
      <c r="B39" s="381"/>
      <c r="C39" s="381"/>
      <c r="D39" s="381"/>
      <c r="E39" s="381"/>
      <c r="F39" s="381"/>
      <c r="G39" s="381"/>
      <c r="H39" s="381"/>
      <c r="I39" s="382"/>
      <c r="J39" s="382"/>
      <c r="K39" s="382"/>
      <c r="L39" s="382"/>
      <c r="M39" s="382"/>
    </row>
    <row r="40" spans="1:17" x14ac:dyDescent="0.25">
      <c r="B40" s="345" t="s">
        <v>1269</v>
      </c>
      <c r="C40" s="377">
        <f>SUMPRODUCT(D38:H38, D37:H37)</f>
        <v>57.005467399687213</v>
      </c>
      <c r="D40" s="369"/>
      <c r="E40" s="369"/>
      <c r="F40" s="369"/>
      <c r="G40" s="369"/>
      <c r="H40" s="369"/>
      <c r="J40" s="369"/>
      <c r="K40" s="369"/>
      <c r="L40" s="369"/>
      <c r="M40" s="369"/>
    </row>
    <row r="41" spans="1:17" ht="15.75" thickBot="1" x14ac:dyDescent="0.3">
      <c r="B41" s="345" t="s">
        <v>1270</v>
      </c>
      <c r="C41" s="386">
        <f>C37/C11*C38</f>
        <v>107.20278323792755</v>
      </c>
      <c r="D41" s="369"/>
      <c r="E41" s="369"/>
      <c r="F41" s="369"/>
      <c r="G41" s="369"/>
      <c r="H41" s="369"/>
      <c r="J41" s="369"/>
      <c r="K41" s="369"/>
      <c r="L41" s="369"/>
      <c r="M41" s="369"/>
    </row>
    <row r="42" spans="1:17" ht="15.75" thickBot="1" x14ac:dyDescent="0.3">
      <c r="B42" s="387" t="s">
        <v>15</v>
      </c>
      <c r="C42" s="378">
        <f>SUM(C40:C41)</f>
        <v>164.20825063761475</v>
      </c>
      <c r="D42" s="369"/>
      <c r="E42" s="369"/>
      <c r="F42" s="369"/>
      <c r="G42" s="369"/>
      <c r="H42" s="369"/>
      <c r="J42" s="369"/>
      <c r="K42" s="369"/>
      <c r="L42" s="369"/>
      <c r="M42" s="369"/>
    </row>
    <row r="43" spans="1:17" x14ac:dyDescent="0.25">
      <c r="B43" s="343"/>
    </row>
    <row r="44" spans="1:17" ht="15.75" thickBot="1" x14ac:dyDescent="0.3"/>
    <row r="45" spans="1:17" ht="15.75" thickBot="1" x14ac:dyDescent="0.3">
      <c r="B45" s="506" t="s">
        <v>30</v>
      </c>
      <c r="C45" s="507"/>
      <c r="D45" s="507"/>
      <c r="E45" s="507"/>
      <c r="F45" s="507"/>
      <c r="G45" s="507"/>
      <c r="H45" s="507"/>
      <c r="I45" s="507"/>
      <c r="J45" s="507"/>
      <c r="K45" s="507"/>
      <c r="L45" s="507"/>
      <c r="M45" s="507"/>
      <c r="N45" s="507"/>
      <c r="O45" s="507"/>
      <c r="P45" s="507"/>
      <c r="Q45" s="508"/>
    </row>
    <row r="48" spans="1:17" x14ac:dyDescent="0.25">
      <c r="B48" s="509" t="s">
        <v>1287</v>
      </c>
      <c r="C48" s="509"/>
    </row>
    <row r="49" spans="2:8" x14ac:dyDescent="0.25">
      <c r="B49" s="304" t="s">
        <v>19</v>
      </c>
      <c r="C49" s="367">
        <v>165683334</v>
      </c>
    </row>
    <row r="50" spans="2:8" x14ac:dyDescent="0.25">
      <c r="B50" s="368" t="s">
        <v>1231</v>
      </c>
      <c r="C50" s="391">
        <v>143.96</v>
      </c>
    </row>
    <row r="51" spans="2:8" x14ac:dyDescent="0.25">
      <c r="B51" s="368" t="s">
        <v>20</v>
      </c>
      <c r="C51" s="390">
        <f>PRODUCT(C49:C50)/M</f>
        <v>23851.772762640005</v>
      </c>
    </row>
    <row r="52" spans="2:8" ht="15.75" thickBot="1" x14ac:dyDescent="0.3"/>
    <row r="53" spans="2:8" ht="15.75" thickBot="1" x14ac:dyDescent="0.3">
      <c r="B53" s="368" t="s">
        <v>1231</v>
      </c>
      <c r="C53" s="356">
        <f>C55/C5</f>
        <v>250.90902761961709</v>
      </c>
      <c r="D53" s="356">
        <f>D55/D5</f>
        <v>232.05504053529026</v>
      </c>
      <c r="E53" s="356">
        <f>E55/E5</f>
        <v>214.52816895616783</v>
      </c>
      <c r="F53" s="384">
        <f>F55/F5</f>
        <v>200.2004696292924</v>
      </c>
      <c r="G53" s="385">
        <f>G55/G5</f>
        <v>185.04822869096105</v>
      </c>
      <c r="H53" s="388">
        <v>176.64</v>
      </c>
    </row>
    <row r="54" spans="2:8" x14ac:dyDescent="0.25">
      <c r="B54" s="346"/>
      <c r="C54" s="318"/>
      <c r="D54" s="318"/>
      <c r="E54" s="318"/>
      <c r="F54" s="318"/>
      <c r="G54" s="318"/>
      <c r="H54" s="389"/>
    </row>
    <row r="55" spans="2:8" x14ac:dyDescent="0.25">
      <c r="B55" s="304" t="s">
        <v>20</v>
      </c>
      <c r="C55" s="390">
        <f t="shared" ref="C55:F55" si="5">C62+C59-C56</f>
        <v>34783.657703236328</v>
      </c>
      <c r="D55" s="390">
        <f t="shared" si="5"/>
        <v>33430.843031252523</v>
      </c>
      <c r="E55" s="390">
        <f t="shared" si="5"/>
        <v>32071.534605324836</v>
      </c>
      <c r="F55" s="390">
        <f t="shared" si="5"/>
        <v>31017.406988363069</v>
      </c>
      <c r="G55" s="390">
        <f>G62+G59-G56</f>
        <v>29675.345722577778</v>
      </c>
      <c r="H55" s="390">
        <f>C51</f>
        <v>23851.772762640005</v>
      </c>
    </row>
    <row r="56" spans="2:8" x14ac:dyDescent="0.25">
      <c r="B56" s="304" t="s">
        <v>1234</v>
      </c>
      <c r="C56" s="353">
        <f t="shared" ref="C56:G56" si="6">SUBTOTAL(9,C57:C58)</f>
        <v>2383.9026923815572</v>
      </c>
      <c r="D56" s="353">
        <f t="shared" si="6"/>
        <v>2296.6284937828823</v>
      </c>
      <c r="E56" s="353">
        <f t="shared" si="6"/>
        <v>2221.5805934972154</v>
      </c>
      <c r="F56" s="353">
        <f t="shared" si="6"/>
        <v>1841.0651273585788</v>
      </c>
      <c r="G56" s="353">
        <f t="shared" si="6"/>
        <v>1744.8936217626067</v>
      </c>
      <c r="H56" s="353">
        <f>SUBTOTAL(9,H57:H58)</f>
        <v>1943</v>
      </c>
    </row>
    <row r="57" spans="2:8" x14ac:dyDescent="0.25">
      <c r="B57" s="354" t="s">
        <v>1236</v>
      </c>
      <c r="C57" s="353">
        <f>'Balance Sheet (Y)'!C60+'Balance Sheet (Y)'!C59</f>
        <v>867.66666666666424</v>
      </c>
      <c r="D57" s="353">
        <f>'Balance Sheet (Y)'!D60+'Balance Sheet (Y)'!D59</f>
        <v>765.16666666666424</v>
      </c>
      <c r="E57" s="353">
        <f>'Balance Sheet (Y)'!E60+'Balance Sheet (Y)'!E59</f>
        <v>662.66666666666424</v>
      </c>
      <c r="F57" s="353">
        <f>'Balance Sheet (Y)'!F60+'Balance Sheet (Y)'!F59</f>
        <v>560.16666666666424</v>
      </c>
      <c r="G57" s="353">
        <f>'Balance Sheet (Y)'!G60+'Balance Sheet (Y)'!G59</f>
        <v>457.66666666666424</v>
      </c>
      <c r="H57" s="353">
        <f>'Balance Sheet (Y)'!H60+'Balance Sheet (Y)'!H59</f>
        <v>355</v>
      </c>
    </row>
    <row r="58" spans="2:8" x14ac:dyDescent="0.25">
      <c r="B58" s="354" t="s">
        <v>1237</v>
      </c>
      <c r="C58" s="353">
        <f>'Balance Sheet (Y)'!C68</f>
        <v>1516.236025714893</v>
      </c>
      <c r="D58" s="353">
        <f>'Balance Sheet (Y)'!D68</f>
        <v>1531.4618271162178</v>
      </c>
      <c r="E58" s="353">
        <f>'Balance Sheet (Y)'!E68</f>
        <v>1558.9139268305512</v>
      </c>
      <c r="F58" s="353">
        <f>'Balance Sheet (Y)'!F68</f>
        <v>1280.8984606919146</v>
      </c>
      <c r="G58" s="353">
        <f>'Balance Sheet (Y)'!G68</f>
        <v>1287.2269550959425</v>
      </c>
      <c r="H58" s="353">
        <f>'Balance Sheet (Y)'!H68</f>
        <v>1588</v>
      </c>
    </row>
    <row r="59" spans="2:8" x14ac:dyDescent="0.25">
      <c r="B59" s="304" t="s">
        <v>1238</v>
      </c>
      <c r="C59" s="353">
        <f>'Balance Sheet (Y)'!C4</f>
        <v>2689.5760795544661</v>
      </c>
      <c r="D59" s="353">
        <f>'Balance Sheet (Y)'!D4</f>
        <v>2533.2632170321281</v>
      </c>
      <c r="E59" s="353">
        <f>'Balance Sheet (Y)'!E4</f>
        <v>2382.682898870331</v>
      </c>
      <c r="F59" s="353">
        <f>'Balance Sheet (Y)'!F4</f>
        <v>2231.8158238300716</v>
      </c>
      <c r="G59" s="353">
        <f>'Balance Sheet (Y)'!G4</f>
        <v>2077.3590605046284</v>
      </c>
      <c r="H59" s="353">
        <f>'Balance Sheet (Y)'!H4</f>
        <v>1567</v>
      </c>
    </row>
    <row r="60" spans="2:8" x14ac:dyDescent="0.25">
      <c r="B60" s="304" t="s">
        <v>1235</v>
      </c>
      <c r="C60" s="353"/>
      <c r="D60" s="353"/>
      <c r="E60" s="353"/>
      <c r="F60" s="353"/>
      <c r="G60" s="353"/>
      <c r="H60" s="353"/>
    </row>
    <row r="61" spans="2:8" x14ac:dyDescent="0.25">
      <c r="C61" s="318"/>
      <c r="D61" s="318"/>
      <c r="E61" s="318"/>
      <c r="F61" s="318"/>
      <c r="G61" s="318"/>
      <c r="H61" s="318"/>
    </row>
    <row r="62" spans="2:8" x14ac:dyDescent="0.25">
      <c r="B62" s="304" t="s">
        <v>23</v>
      </c>
      <c r="C62" s="353">
        <f t="shared" ref="C62:F62" si="7">C69*C67</f>
        <v>34477.984316063419</v>
      </c>
      <c r="D62" s="353">
        <f t="shared" si="7"/>
        <v>33194.208308003275</v>
      </c>
      <c r="E62" s="353">
        <f t="shared" si="7"/>
        <v>31910.432299951724</v>
      </c>
      <c r="F62" s="353">
        <f t="shared" si="7"/>
        <v>30626.656291891577</v>
      </c>
      <c r="G62" s="353">
        <f>G69*G67</f>
        <v>29342.880283835759</v>
      </c>
      <c r="H62" s="353">
        <f>H55+H56-H59</f>
        <v>24227.772762640005</v>
      </c>
    </row>
    <row r="63" spans="2:8" x14ac:dyDescent="0.25">
      <c r="C63" s="43"/>
      <c r="D63" s="43"/>
      <c r="E63" s="43"/>
      <c r="F63" s="43"/>
      <c r="G63" s="43"/>
      <c r="H63" s="43"/>
    </row>
    <row r="64" spans="2:8" x14ac:dyDescent="0.25">
      <c r="C64" s="43"/>
      <c r="D64" s="43"/>
      <c r="E64" s="43"/>
      <c r="F64" s="43"/>
      <c r="G64" s="43"/>
      <c r="H64" s="43"/>
    </row>
    <row r="65" spans="2:17" x14ac:dyDescent="0.25">
      <c r="B65" s="304" t="s">
        <v>25</v>
      </c>
      <c r="C65" s="353">
        <f>'Segment Earnings'!C123</f>
        <v>3514.9999999998422</v>
      </c>
      <c r="D65" s="353">
        <f>'Segment Earnings'!D123</f>
        <v>3396.999999999407</v>
      </c>
      <c r="E65" s="353">
        <f>'Segment Earnings'!E123</f>
        <v>3279.0000000000568</v>
      </c>
      <c r="F65" s="353">
        <f>'Segment Earnings'!F123</f>
        <v>3160.9999999996217</v>
      </c>
      <c r="G65" s="353">
        <f>'Segment Earnings'!G123</f>
        <v>3042.9999999997308</v>
      </c>
      <c r="H65" s="353">
        <f>'Segment Earnings'!H123</f>
        <v>2446</v>
      </c>
    </row>
    <row r="66" spans="2:17" x14ac:dyDescent="0.25">
      <c r="B66" s="304" t="s">
        <v>1239</v>
      </c>
      <c r="C66" s="353">
        <f>'Cash Flow (Y)'!C6</f>
        <v>795.50000000000728</v>
      </c>
      <c r="D66" s="353">
        <f>'Cash Flow (Y)'!D6</f>
        <v>753.00000000001091</v>
      </c>
      <c r="E66" s="353">
        <f>'Cash Flow (Y)'!E6</f>
        <v>710.50000000000364</v>
      </c>
      <c r="F66" s="353">
        <f>'Cash Flow (Y)'!F6</f>
        <v>668.00000000000728</v>
      </c>
      <c r="G66" s="353">
        <f>'Cash Flow (Y)'!G6</f>
        <v>625.50000000000728</v>
      </c>
      <c r="H66" s="353">
        <f>'Cash Flow (Y)'!H6</f>
        <v>583</v>
      </c>
    </row>
    <row r="67" spans="2:17" x14ac:dyDescent="0.25">
      <c r="B67" s="304" t="s">
        <v>24</v>
      </c>
      <c r="C67" s="353">
        <f t="shared" ref="C67:G67" si="8">C66+C65</f>
        <v>4310.499999999849</v>
      </c>
      <c r="D67" s="353">
        <f t="shared" si="8"/>
        <v>4149.9999999994179</v>
      </c>
      <c r="E67" s="353">
        <f t="shared" si="8"/>
        <v>3989.5000000000605</v>
      </c>
      <c r="F67" s="353">
        <f t="shared" si="8"/>
        <v>3828.9999999996289</v>
      </c>
      <c r="G67" s="353">
        <f t="shared" si="8"/>
        <v>3668.4999999997381</v>
      </c>
      <c r="H67" s="353">
        <f>H66+H65</f>
        <v>3029</v>
      </c>
    </row>
    <row r="68" spans="2:17" x14ac:dyDescent="0.25">
      <c r="C68" s="318"/>
      <c r="D68" s="318"/>
      <c r="E68" s="318"/>
      <c r="F68" s="318"/>
      <c r="G68" s="318"/>
      <c r="H68" s="318"/>
    </row>
    <row r="69" spans="2:17" x14ac:dyDescent="0.25">
      <c r="B69" s="304" t="s">
        <v>1241</v>
      </c>
      <c r="C69" s="356">
        <f t="shared" ref="C69:F69" si="9">$H$69</f>
        <v>7.9986044115681763</v>
      </c>
      <c r="D69" s="356">
        <f t="shared" si="9"/>
        <v>7.9986044115681763</v>
      </c>
      <c r="E69" s="356">
        <f t="shared" si="9"/>
        <v>7.9986044115681763</v>
      </c>
      <c r="F69" s="356">
        <f t="shared" si="9"/>
        <v>7.9986044115681763</v>
      </c>
      <c r="G69" s="356">
        <f>$H$69</f>
        <v>7.9986044115681763</v>
      </c>
      <c r="H69" s="356">
        <f>H62/H67</f>
        <v>7.9986044115681763</v>
      </c>
    </row>
    <row r="70" spans="2:17" ht="15.75" thickBot="1" x14ac:dyDescent="0.3"/>
    <row r="71" spans="2:17" ht="15.75" thickBot="1" x14ac:dyDescent="0.3">
      <c r="B71" s="506" t="s">
        <v>1275</v>
      </c>
      <c r="C71" s="507"/>
      <c r="D71" s="507"/>
      <c r="E71" s="507"/>
      <c r="F71" s="507"/>
      <c r="G71" s="507"/>
      <c r="H71" s="507"/>
      <c r="I71" s="507"/>
      <c r="J71" s="507"/>
      <c r="K71" s="507"/>
      <c r="L71" s="507"/>
      <c r="M71" s="507"/>
      <c r="N71" s="507"/>
      <c r="O71" s="507"/>
      <c r="P71" s="507"/>
      <c r="Q71" s="508"/>
    </row>
    <row r="72" spans="2:17" x14ac:dyDescent="0.25">
      <c r="C72" s="318"/>
      <c r="D72" s="318"/>
      <c r="E72" s="318"/>
      <c r="F72" s="318"/>
      <c r="G72" s="318"/>
      <c r="H72" s="318"/>
      <c r="I72" s="318"/>
      <c r="J72" s="318"/>
      <c r="K72" s="318"/>
      <c r="L72" s="318"/>
      <c r="M72" s="318"/>
    </row>
    <row r="73" spans="2:17" x14ac:dyDescent="0.25">
      <c r="B73" s="304" t="s">
        <v>1086</v>
      </c>
      <c r="C73" s="353">
        <f>'Equity (Y)'!D55</f>
        <v>8249.2555789175567</v>
      </c>
      <c r="D73" s="353">
        <f>'Equity (Y)'!E55</f>
        <v>8002.7953689419719</v>
      </c>
      <c r="E73" s="353">
        <f>'Equity (Y)'!F55</f>
        <v>7426.311643086714</v>
      </c>
      <c r="F73" s="353">
        <f>'Equity (Y)'!G55</f>
        <v>7080.7094431140949</v>
      </c>
      <c r="G73" s="353">
        <f>'Equity (Y)'!H55</f>
        <v>7259</v>
      </c>
      <c r="H73" s="353">
        <f>'Equity (Y)'!I55</f>
        <v>6875</v>
      </c>
      <c r="I73" s="353">
        <f>'Equity (Y)'!J55</f>
        <v>7406</v>
      </c>
      <c r="J73" s="353">
        <f>'Equity (Y)'!K55</f>
        <v>7749</v>
      </c>
      <c r="K73" s="353">
        <f>'Equity (Y)'!L55</f>
        <v>7510</v>
      </c>
      <c r="L73" s="353">
        <f>'Equity (Y)'!M55</f>
        <v>0</v>
      </c>
      <c r="M73" s="43"/>
    </row>
    <row r="74" spans="2:17" x14ac:dyDescent="0.25">
      <c r="B74" s="354" t="s">
        <v>1022</v>
      </c>
      <c r="C74" s="353">
        <f>'Equity (Y)'!C55-'Equity (Y)'!D55</f>
        <v>220.58361136872009</v>
      </c>
      <c r="D74" s="353">
        <f>'Equity (Y)'!D55-'Equity (Y)'!E55</f>
        <v>246.4602099755848</v>
      </c>
      <c r="E74" s="353">
        <f>'Equity (Y)'!E55-'Equity (Y)'!F55</f>
        <v>576.48372585525794</v>
      </c>
      <c r="F74" s="353">
        <f>'Equity (Y)'!F55-'Equity (Y)'!G55</f>
        <v>345.60219997261902</v>
      </c>
      <c r="G74" s="353">
        <f>'Equity (Y)'!G55-'Equity (Y)'!H55</f>
        <v>-178.29055688590506</v>
      </c>
      <c r="H74" s="353">
        <f>'Equity (Y)'!H55-'Equity (Y)'!I55</f>
        <v>384</v>
      </c>
      <c r="I74" s="353">
        <f>'Equity (Y)'!I55-'Equity (Y)'!J55</f>
        <v>-531</v>
      </c>
      <c r="J74" s="353">
        <f>'Equity (Y)'!J55-'Equity (Y)'!K55</f>
        <v>-343</v>
      </c>
      <c r="K74" s="353">
        <f>'Equity (Y)'!K55-'Equity (Y)'!L55</f>
        <v>239</v>
      </c>
      <c r="L74" s="353">
        <f>'Equity (Y)'!L55-'Equity (Y)'!M55</f>
        <v>7510</v>
      </c>
      <c r="M74" s="43"/>
    </row>
    <row r="75" spans="2:17" x14ac:dyDescent="0.25">
      <c r="B75" s="354" t="s">
        <v>1023</v>
      </c>
      <c r="C75" s="353">
        <f>-'Cash Flow (Y)'!C65</f>
        <v>639.3457268272457</v>
      </c>
      <c r="D75" s="353">
        <f>-'Cash Flow (Y)'!D65</f>
        <v>652.4779081563953</v>
      </c>
      <c r="E75" s="353">
        <f>-'Cash Flow (Y)'!E65</f>
        <v>672.05368770745997</v>
      </c>
      <c r="F75" s="353">
        <f>-'Cash Flow (Y)'!F65</f>
        <v>695.16522034582124</v>
      </c>
      <c r="G75" s="353">
        <f>-'Cash Flow (Y)'!G65</f>
        <v>1045.6459117381542</v>
      </c>
      <c r="H75" s="353">
        <f>-'Cash Flow (Y)'!H65</f>
        <v>701</v>
      </c>
      <c r="I75" s="353">
        <f>-'Cash Flow (Y)'!I65</f>
        <v>676</v>
      </c>
      <c r="J75" s="353">
        <f>-'Cash Flow (Y)'!J65</f>
        <v>622</v>
      </c>
      <c r="K75" s="353">
        <f>-'Cash Flow (Y)'!K65</f>
        <v>512</v>
      </c>
      <c r="L75" s="353">
        <f>-'Cash Flow (Y)'!L65</f>
        <v>420</v>
      </c>
      <c r="M75" s="43"/>
    </row>
    <row r="76" spans="2:17" x14ac:dyDescent="0.25">
      <c r="B76" s="354" t="s">
        <v>395</v>
      </c>
      <c r="C76" s="353">
        <f>-'Cash Flow (Y)'!C66</f>
        <v>636</v>
      </c>
      <c r="D76" s="353">
        <f>-'Cash Flow (Y)'!D66</f>
        <v>636</v>
      </c>
      <c r="E76" s="353">
        <f>-'Cash Flow (Y)'!E66</f>
        <v>636</v>
      </c>
      <c r="F76" s="353">
        <f>-'Cash Flow (Y)'!F66</f>
        <v>636</v>
      </c>
      <c r="G76" s="353">
        <f>-'Cash Flow (Y)'!G66</f>
        <v>636</v>
      </c>
      <c r="H76" s="353">
        <f>-'Cash Flow (Y)'!H66</f>
        <v>451</v>
      </c>
      <c r="I76" s="353">
        <f>-'Cash Flow (Y)'!I66</f>
        <v>778</v>
      </c>
      <c r="J76" s="353">
        <f>-'Cash Flow (Y)'!J66</f>
        <v>900</v>
      </c>
      <c r="K76" s="353">
        <f>-'Cash Flow (Y)'!K66</f>
        <v>670</v>
      </c>
      <c r="L76" s="353">
        <f>-'Cash Flow (Y)'!L66</f>
        <v>381</v>
      </c>
      <c r="M76" s="43"/>
    </row>
    <row r="77" spans="2:17" x14ac:dyDescent="0.25">
      <c r="B77" s="355" t="s">
        <v>1273</v>
      </c>
      <c r="C77" s="353">
        <f t="shared" ref="C77:E77" si="10">SUM(C73:C76)</f>
        <v>9745.1849171135218</v>
      </c>
      <c r="D77" s="353">
        <f t="shared" si="10"/>
        <v>9537.7334870739523</v>
      </c>
      <c r="E77" s="353">
        <f t="shared" si="10"/>
        <v>9310.8490566494311</v>
      </c>
      <c r="F77" s="353">
        <f>SUM(F73:F76)</f>
        <v>8757.4768634325355</v>
      </c>
      <c r="G77" s="353">
        <f t="shared" ref="G77:H77" si="11">SUM(G73:G76)</f>
        <v>8762.3553548522486</v>
      </c>
      <c r="H77" s="353">
        <f t="shared" si="11"/>
        <v>8411</v>
      </c>
      <c r="I77" s="353">
        <f t="shared" ref="I77" si="12">SUM(I73:I76)</f>
        <v>8329</v>
      </c>
      <c r="J77" s="353">
        <f t="shared" ref="J77" si="13">SUM(J73:J76)</f>
        <v>8928</v>
      </c>
      <c r="K77" s="353">
        <f t="shared" ref="K77" si="14">SUM(K73:K76)</f>
        <v>8931</v>
      </c>
      <c r="L77" s="353">
        <f t="shared" ref="L77" si="15">SUM(L73:L76)</f>
        <v>8311</v>
      </c>
      <c r="M77" s="43"/>
    </row>
    <row r="78" spans="2:17" x14ac:dyDescent="0.25">
      <c r="B78" s="354" t="s">
        <v>1274</v>
      </c>
      <c r="C78" s="356">
        <f t="shared" ref="C78:L78" si="16">C77/C5</f>
        <v>70.296082499075752</v>
      </c>
      <c r="D78" s="356">
        <f t="shared" si="16"/>
        <v>66.204705902530705</v>
      </c>
      <c r="E78" s="356">
        <f t="shared" si="16"/>
        <v>62.280755321843259</v>
      </c>
      <c r="F78" s="356">
        <f t="shared" si="16"/>
        <v>56.524743718410463</v>
      </c>
      <c r="G78" s="356">
        <f t="shared" si="16"/>
        <v>54.63991397891342</v>
      </c>
      <c r="H78" s="356">
        <f t="shared" si="16"/>
        <v>50.478522711914373</v>
      </c>
      <c r="I78" s="356">
        <f t="shared" si="16"/>
        <v>49.272825034262922</v>
      </c>
      <c r="J78" s="356">
        <f t="shared" si="16"/>
        <v>50.14671593409259</v>
      </c>
      <c r="K78" s="356">
        <f t="shared" si="16"/>
        <v>48.90012552072529</v>
      </c>
      <c r="L78" s="356">
        <f t="shared" si="16"/>
        <v>44.445185524343721</v>
      </c>
    </row>
    <row r="80" spans="2:17" x14ac:dyDescent="0.25">
      <c r="B80" s="304" t="s">
        <v>1024</v>
      </c>
      <c r="C80" s="353">
        <f t="shared" ref="C80:H80" si="17">SUM(C74:C76)</f>
        <v>1495.9293381959658</v>
      </c>
      <c r="D80" s="353">
        <f t="shared" si="17"/>
        <v>1534.93811813198</v>
      </c>
      <c r="E80" s="353">
        <f t="shared" si="17"/>
        <v>1884.537413562718</v>
      </c>
      <c r="F80" s="353">
        <f t="shared" si="17"/>
        <v>1676.7674203184401</v>
      </c>
      <c r="G80" s="353">
        <f t="shared" si="17"/>
        <v>1503.3553548522491</v>
      </c>
      <c r="H80" s="353">
        <f t="shared" si="17"/>
        <v>1536</v>
      </c>
    </row>
    <row r="81" spans="2:17" x14ac:dyDescent="0.25">
      <c r="B81" s="354" t="s">
        <v>1272</v>
      </c>
      <c r="C81" s="357">
        <f t="shared" ref="C81:H81" si="18">C80/C73</f>
        <v>0.18134113119480499</v>
      </c>
      <c r="D81" s="357">
        <f t="shared" si="18"/>
        <v>0.19180024571025736</v>
      </c>
      <c r="E81" s="357">
        <f t="shared" si="18"/>
        <v>0.25376492451903326</v>
      </c>
      <c r="F81" s="357">
        <f t="shared" si="18"/>
        <v>0.23680782749094109</v>
      </c>
      <c r="G81" s="357">
        <f t="shared" si="18"/>
        <v>0.20710226682080854</v>
      </c>
      <c r="H81" s="357">
        <f t="shared" si="18"/>
        <v>0.22341818181818182</v>
      </c>
    </row>
    <row r="83" spans="2:17" x14ac:dyDescent="0.25">
      <c r="B83" s="304" t="s">
        <v>843</v>
      </c>
      <c r="C83" s="353">
        <f>'Balance Sheet (Y)'!C96</f>
        <v>8469.8391902862768</v>
      </c>
      <c r="D83" s="353">
        <f>'Balance Sheet (Y)'!D96</f>
        <v>8249.2555789175567</v>
      </c>
      <c r="E83" s="353">
        <f>'Balance Sheet (Y)'!E96</f>
        <v>8002.7953689419719</v>
      </c>
      <c r="F83" s="353">
        <f>'Balance Sheet (Y)'!F96</f>
        <v>7426.311643086714</v>
      </c>
      <c r="G83" s="353">
        <f>'Balance Sheet (Y)'!G96</f>
        <v>7080.7094431140949</v>
      </c>
      <c r="H83" s="353">
        <f>'Balance Sheet (Y)'!H96</f>
        <v>7259</v>
      </c>
      <c r="I83" s="353">
        <f>'Balance Sheet (Y)'!I96</f>
        <v>6875</v>
      </c>
      <c r="J83" s="353">
        <f>'Balance Sheet (Y)'!J96</f>
        <v>7406</v>
      </c>
      <c r="K83" s="353">
        <f>'Balance Sheet (Y)'!K96</f>
        <v>7749</v>
      </c>
    </row>
    <row r="85" spans="2:17" x14ac:dyDescent="0.25">
      <c r="B85" s="348" t="s">
        <v>864</v>
      </c>
    </row>
    <row r="86" spans="2:17" x14ac:dyDescent="0.25">
      <c r="B86" s="304" t="s">
        <v>1275</v>
      </c>
      <c r="C86" s="360">
        <f>$N86*C$1+$O86</f>
        <v>0.8211767635087881</v>
      </c>
      <c r="D86" s="360">
        <f>$N86*D$1+$O86</f>
        <v>1.1885023253815916</v>
      </c>
      <c r="E86" s="360">
        <f>$N86*E$1+$O86</f>
        <v>1.5558278872543951</v>
      </c>
      <c r="F86" s="360">
        <f>$N86*F$1+$O86</f>
        <v>1.923153449127085</v>
      </c>
      <c r="G86" s="360">
        <f>$N86*G$1+$O86</f>
        <v>2.2904790109998885</v>
      </c>
      <c r="H86" s="360">
        <f>H17/H83</f>
        <v>2.3794889103182255</v>
      </c>
      <c r="I86" s="360">
        <f>I17/I83</f>
        <v>3.5057832727272724</v>
      </c>
      <c r="J86" s="360">
        <f>J17/J83</f>
        <v>3.2660964083175803</v>
      </c>
      <c r="K86" s="360">
        <f>K17/K83</f>
        <v>3.6838030713640468</v>
      </c>
      <c r="L86" s="496"/>
      <c r="M86" s="496"/>
      <c r="N86" s="358">
        <f>SLOPE(H86:L86, H1:L1)</f>
        <v>-0.36732556187277721</v>
      </c>
      <c r="O86" s="359">
        <f>INTERCEPT(H86:L86,H1:L1)</f>
        <v>743.5534628702643</v>
      </c>
      <c r="P86" s="359" t="s">
        <v>1020</v>
      </c>
      <c r="Q86" s="359" t="s">
        <v>1288</v>
      </c>
    </row>
    <row r="87" spans="2:17" x14ac:dyDescent="0.25">
      <c r="B87" s="304" t="s">
        <v>1276</v>
      </c>
      <c r="C87" s="360">
        <f>C86*C77/C5</f>
        <v>57.725509513937787</v>
      </c>
      <c r="D87" s="360">
        <f>D86*D77/D5</f>
        <v>78.68444691636212</v>
      </c>
      <c r="E87" s="360">
        <f>E86*E77/E5</f>
        <v>96.898135968991326</v>
      </c>
      <c r="F87" s="361">
        <f>F86*F77/F5</f>
        <v>108.7057558430856</v>
      </c>
      <c r="G87" s="361">
        <f>G86*G77/G5</f>
        <v>125.15157613154059</v>
      </c>
    </row>
    <row r="89" spans="2:17" x14ac:dyDescent="0.25">
      <c r="B89" s="348" t="s">
        <v>1011</v>
      </c>
    </row>
    <row r="90" spans="2:17" ht="15.75" thickBot="1" x14ac:dyDescent="0.3">
      <c r="B90" s="304" t="s">
        <v>1275</v>
      </c>
      <c r="C90" s="383">
        <f>SUM(H17:K17)/SUM(H83:K83)</f>
        <v>3.2131335996449173</v>
      </c>
      <c r="D90" s="305"/>
      <c r="E90" s="305"/>
      <c r="F90" s="305"/>
      <c r="G90" s="365"/>
    </row>
    <row r="91" spans="2:17" ht="15.75" thickBot="1" x14ac:dyDescent="0.3">
      <c r="B91" s="304" t="s">
        <v>1276</v>
      </c>
      <c r="C91" s="366">
        <f>C83*$C$90/C5</f>
        <v>196.31115900214166</v>
      </c>
      <c r="D91" s="363">
        <f>D83*$C$90/D5</f>
        <v>183.98703495909731</v>
      </c>
      <c r="E91" s="363">
        <f>E83*$C$90/E5</f>
        <v>172.00262722311089</v>
      </c>
      <c r="F91" s="364">
        <f>F83*$C$90/F5</f>
        <v>154.01448117890448</v>
      </c>
      <c r="G91" s="362">
        <f>G83*$C$90/G5</f>
        <v>141.87135024443938</v>
      </c>
    </row>
  </sheetData>
  <mergeCells count="15">
    <mergeCell ref="L86:M86"/>
    <mergeCell ref="B3:Q3"/>
    <mergeCell ref="B13:Q13"/>
    <mergeCell ref="B21:Q21"/>
    <mergeCell ref="B45:Q45"/>
    <mergeCell ref="B71:Q71"/>
    <mergeCell ref="C23:G23"/>
    <mergeCell ref="C24:G24"/>
    <mergeCell ref="C6:G6"/>
    <mergeCell ref="B34:Q34"/>
    <mergeCell ref="M5:P5"/>
    <mergeCell ref="I38:M38"/>
    <mergeCell ref="B48:C48"/>
    <mergeCell ref="H27:M27"/>
    <mergeCell ref="H31:M31"/>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6A6E53-4B2B-43C4-9CAF-3C5F1223AAB9}">
  <sheetPr codeName="Sheet7">
    <tabColor theme="8" tint="-0.249977111117893"/>
  </sheetPr>
  <dimension ref="A1:Q75"/>
  <sheetViews>
    <sheetView zoomScaleNormal="100" workbookViewId="0">
      <pane ySplit="1" topLeftCell="A13" activePane="bottomLeft" state="frozen"/>
      <selection pane="bottomLeft" activeCell="G32" sqref="G32"/>
    </sheetView>
  </sheetViews>
  <sheetFormatPr defaultColWidth="8.85546875" defaultRowHeight="15" x14ac:dyDescent="0.25"/>
  <cols>
    <col min="1" max="1" width="6.42578125" style="29" bestFit="1" customWidth="1"/>
    <col min="2" max="2" width="40.42578125" style="6" customWidth="1"/>
    <col min="3" max="8" width="10.42578125" style="115" bestFit="1" customWidth="1"/>
    <col min="9" max="14" width="8.85546875" style="116"/>
    <col min="15" max="15" width="8.85546875" style="29"/>
    <col min="16" max="16" width="42.140625" style="29" bestFit="1" customWidth="1"/>
    <col min="17" max="16384" width="8.85546875" style="29"/>
  </cols>
  <sheetData>
    <row r="1" spans="1:17" s="71" customFormat="1" x14ac:dyDescent="0.25">
      <c r="A1" s="317" t="s">
        <v>1222</v>
      </c>
      <c r="B1" s="70" t="s">
        <v>281</v>
      </c>
      <c r="C1" s="213">
        <v>2022</v>
      </c>
      <c r="D1" s="213">
        <v>2021</v>
      </c>
      <c r="E1" s="213">
        <v>2020</v>
      </c>
      <c r="F1" s="213">
        <v>2019</v>
      </c>
      <c r="G1" s="213">
        <v>2018</v>
      </c>
      <c r="H1" s="213">
        <v>2017</v>
      </c>
      <c r="I1" s="213">
        <v>2016</v>
      </c>
      <c r="J1" s="213">
        <v>2015</v>
      </c>
      <c r="K1" s="213">
        <v>2014</v>
      </c>
      <c r="L1" s="213">
        <v>2013</v>
      </c>
      <c r="M1" s="112" t="s">
        <v>1028</v>
      </c>
      <c r="N1" s="112" t="s">
        <v>1116</v>
      </c>
      <c r="O1" s="68" t="s">
        <v>1025</v>
      </c>
      <c r="P1" s="71" t="s">
        <v>1002</v>
      </c>
      <c r="Q1" t="s">
        <v>1152</v>
      </c>
    </row>
    <row r="2" spans="1:17" s="74" customFormat="1" ht="15" customHeight="1" x14ac:dyDescent="0.25">
      <c r="A2" s="217">
        <f ca="1">IndentLevel(B2)</f>
        <v>0</v>
      </c>
      <c r="B2" s="83" t="s">
        <v>300</v>
      </c>
      <c r="C2" s="255">
        <f>Predictions!C5*Predictions!C96+Predictions!C202*Scen_EngSegSales</f>
        <v>22757.073175118854</v>
      </c>
      <c r="D2" s="255">
        <f>Predictions!D5*Predictions!D96+Predictions!D202*Scen_EngSegSales</f>
        <v>22222.223350972708</v>
      </c>
      <c r="E2" s="255">
        <f>Predictions!E5*Predictions!E96+Predictions!E202*Scen_EngSegSales</f>
        <v>21702.349070915727</v>
      </c>
      <c r="F2" s="255">
        <f>Predictions!F5*Predictions!F96+Predictions!F202*Scen_EngSegSales</f>
        <v>21196.834119075153</v>
      </c>
      <c r="G2" s="255">
        <f>Predictions!G5*Predictions!G96+Predictions!G202*Scen_EngSegSales</f>
        <v>20705.089049617047</v>
      </c>
      <c r="H2" s="116">
        <f>'Segment Earnings'!H2</f>
        <v>20428</v>
      </c>
      <c r="I2" s="116">
        <f>'Segment Earnings'!I2</f>
        <v>17509</v>
      </c>
      <c r="J2" s="116">
        <f>'Segment Earnings'!J2</f>
        <v>19110</v>
      </c>
      <c r="K2" s="116">
        <f>'Segment Earnings'!K2</f>
        <v>19221</v>
      </c>
      <c r="L2" s="116">
        <f>'Segment Earnings'!L2</f>
        <v>17301</v>
      </c>
      <c r="M2" s="112"/>
      <c r="N2" s="112"/>
      <c r="O2" s="73"/>
    </row>
    <row r="3" spans="1:17" s="74" customFormat="1" ht="15" customHeight="1" x14ac:dyDescent="0.25">
      <c r="A3" s="450">
        <f ca="1">IndentLevel(B3)</f>
        <v>1</v>
      </c>
      <c r="B3" s="447" t="s">
        <v>301</v>
      </c>
      <c r="C3" s="257">
        <f>Predictions!C38*Predictions!C120+Predictions!C206*Scen_EngSegSales</f>
        <v>17261.160854941503</v>
      </c>
      <c r="D3" s="257">
        <f>Predictions!D38*Predictions!D120+Predictions!D206*Scen_EngSegSales</f>
        <v>16753.787542592734</v>
      </c>
      <c r="E3" s="257">
        <f>Predictions!E38*Predictions!E120+Predictions!E206*Scen_EngSegSales</f>
        <v>16257.128316815606</v>
      </c>
      <c r="F3" s="257">
        <f>Predictions!F38*Predictions!F120+Predictions!F206*Scen_EngSegSales</f>
        <v>15770.729597597139</v>
      </c>
      <c r="G3" s="257">
        <f>Predictions!G38*Predictions!G120+Predictions!G206*Scen_EngSegSales</f>
        <v>14993.499099487166</v>
      </c>
      <c r="H3" s="117">
        <v>15338</v>
      </c>
      <c r="I3" s="117">
        <v>13057</v>
      </c>
      <c r="J3" s="117">
        <v>14163</v>
      </c>
      <c r="K3" s="117">
        <v>14360</v>
      </c>
      <c r="L3" s="117">
        <v>13021</v>
      </c>
      <c r="M3" s="112"/>
      <c r="N3" s="112"/>
      <c r="O3" s="73" t="s">
        <v>282</v>
      </c>
    </row>
    <row r="4" spans="1:17" s="74" customFormat="1" ht="15" customHeight="1" x14ac:dyDescent="0.25">
      <c r="A4" s="217">
        <f ca="1">IndentLevel(B4)</f>
        <v>0</v>
      </c>
      <c r="B4" s="83" t="s">
        <v>302</v>
      </c>
      <c r="C4" s="255">
        <f t="shared" ref="C4:G4" si="0">C2-C3</f>
        <v>5495.9123201773509</v>
      </c>
      <c r="D4" s="255">
        <f t="shared" si="0"/>
        <v>5468.4358083799743</v>
      </c>
      <c r="E4" s="255">
        <f t="shared" si="0"/>
        <v>5445.2207541001208</v>
      </c>
      <c r="F4" s="255">
        <f t="shared" si="0"/>
        <v>5426.1045214780133</v>
      </c>
      <c r="G4" s="255">
        <f t="shared" si="0"/>
        <v>5711.5899501298809</v>
      </c>
      <c r="H4" s="255">
        <f>H2-H3</f>
        <v>5090</v>
      </c>
      <c r="I4" s="116">
        <f t="shared" ref="I4:L4" si="1">I2-I3</f>
        <v>4452</v>
      </c>
      <c r="J4" s="116">
        <f t="shared" si="1"/>
        <v>4947</v>
      </c>
      <c r="K4" s="116">
        <f t="shared" si="1"/>
        <v>4861</v>
      </c>
      <c r="L4" s="116">
        <f t="shared" si="1"/>
        <v>4280</v>
      </c>
      <c r="M4" s="112"/>
      <c r="N4" s="112"/>
      <c r="O4" s="69"/>
    </row>
    <row r="5" spans="1:17" s="74" customFormat="1" ht="15" customHeight="1" x14ac:dyDescent="0.25">
      <c r="A5" s="217">
        <f ca="1">IndentLevel(B5)</f>
        <v>0</v>
      </c>
      <c r="B5" s="83" t="s">
        <v>303</v>
      </c>
      <c r="C5" s="256"/>
      <c r="D5" s="256"/>
      <c r="E5" s="256"/>
      <c r="F5" s="256"/>
      <c r="G5" s="256"/>
      <c r="H5" s="256"/>
      <c r="I5" s="256"/>
      <c r="J5" s="256"/>
      <c r="K5" s="256"/>
      <c r="L5" s="256"/>
      <c r="M5" s="112"/>
      <c r="N5" s="112"/>
      <c r="O5" s="73" t="s">
        <v>282</v>
      </c>
    </row>
    <row r="6" spans="1:17" s="74" customFormat="1" ht="15" customHeight="1" x14ac:dyDescent="0.25">
      <c r="A6" s="217">
        <f ca="1">IndentLevel(B6)</f>
        <v>1</v>
      </c>
      <c r="B6" s="315" t="s">
        <v>304</v>
      </c>
      <c r="C6" s="255">
        <f>Predictions!C52*'Income Statement (Y)'!C3+Predictions!C207*Scen_EngSegSales</f>
        <v>3098.1493456786461</v>
      </c>
      <c r="D6" s="255">
        <f>Predictions!D52*'Income Statement (Y)'!D3+Predictions!D207*Scen_EngSegSales</f>
        <v>2934.4333764545418</v>
      </c>
      <c r="E6" s="255">
        <f>Predictions!E52*'Income Statement (Y)'!E3+Predictions!E207*Scen_EngSegSales</f>
        <v>2776.9477551614964</v>
      </c>
      <c r="F6" s="255">
        <f>Predictions!F52*'Income Statement (Y)'!F3+Predictions!F207*Scen_EngSegSales</f>
        <v>2625.4775927742448</v>
      </c>
      <c r="G6" s="255">
        <f>Predictions!G52*'Income Statement (Y)'!G3+Predictions!G207*Scen_EngSegSales</f>
        <v>2431.0698290504197</v>
      </c>
      <c r="H6" s="116">
        <v>2390</v>
      </c>
      <c r="I6" s="116">
        <v>2046</v>
      </c>
      <c r="J6" s="116">
        <v>2092</v>
      </c>
      <c r="K6" s="116">
        <v>2095</v>
      </c>
      <c r="L6" s="112">
        <v>1817</v>
      </c>
      <c r="M6" s="253"/>
      <c r="N6" s="253"/>
      <c r="O6" s="112"/>
      <c r="P6" s="74" t="s">
        <v>1003</v>
      </c>
    </row>
    <row r="7" spans="1:17" s="74" customFormat="1" ht="15" customHeight="1" x14ac:dyDescent="0.25">
      <c r="A7" s="217">
        <f t="shared" ref="A7:A36" ca="1" si="2">IndentLevel(B7)</f>
        <v>1</v>
      </c>
      <c r="B7" s="316" t="s">
        <v>291</v>
      </c>
      <c r="C7" s="116">
        <f>'Segment Earnings'!C13+Predictions!C204*Scen_EngSegSales</f>
        <v>690.00000000000273</v>
      </c>
      <c r="D7" s="116">
        <f>'Segment Earnings'!D13+Predictions!D204*Scen_EngSegSales</f>
        <v>693.99999999998545</v>
      </c>
      <c r="E7" s="116">
        <f>'Segment Earnings'!E13+Predictions!E204*Scen_EngSegSales</f>
        <v>697.99999999999636</v>
      </c>
      <c r="F7" s="116">
        <f>'Segment Earnings'!F13+Predictions!F204*Scen_EngSegSales</f>
        <v>701.99999999997908</v>
      </c>
      <c r="G7" s="116">
        <f>'Segment Earnings'!G13+Predictions!G204*Scen_EngSegSales</f>
        <v>705.99999999999091</v>
      </c>
      <c r="H7" s="116">
        <f>'Segment Earnings'!H13</f>
        <v>752</v>
      </c>
      <c r="I7" s="116">
        <f>'Segment Earnings'!I13</f>
        <v>636</v>
      </c>
      <c r="J7" s="116">
        <f>'Segment Earnings'!J13</f>
        <v>735</v>
      </c>
      <c r="K7" s="116">
        <f>'Segment Earnings'!K13</f>
        <v>754</v>
      </c>
      <c r="L7" s="116">
        <f>'Segment Earnings'!L13</f>
        <v>713</v>
      </c>
      <c r="M7" s="112"/>
      <c r="N7" s="112"/>
      <c r="O7" s="109" t="s">
        <v>282</v>
      </c>
    </row>
    <row r="8" spans="1:17" s="74" customFormat="1" ht="15" customHeight="1" x14ac:dyDescent="0.25">
      <c r="A8" s="217">
        <f t="shared" ca="1" si="2"/>
        <v>1</v>
      </c>
      <c r="B8" s="316" t="s">
        <v>292</v>
      </c>
      <c r="C8" s="116">
        <f>'Segment Earnings'!C18</f>
        <v>286.89999999999873</v>
      </c>
      <c r="D8" s="116">
        <f>'Segment Earnings'!D18</f>
        <v>294.59999999999491</v>
      </c>
      <c r="E8" s="116">
        <f>'Segment Earnings'!E18</f>
        <v>302.29999999999745</v>
      </c>
      <c r="F8" s="116">
        <f>'Segment Earnings'!F18</f>
        <v>309.99999999999363</v>
      </c>
      <c r="G8" s="116">
        <f>'Segment Earnings'!G18</f>
        <v>317.69999999999618</v>
      </c>
      <c r="H8" s="116">
        <f>'Segment Earnings'!H18</f>
        <v>357</v>
      </c>
      <c r="I8" s="116">
        <f>'Segment Earnings'!I18</f>
        <v>301</v>
      </c>
      <c r="J8" s="116">
        <f>'Segment Earnings'!J18</f>
        <v>315</v>
      </c>
      <c r="K8" s="116">
        <f>'Segment Earnings'!K18</f>
        <v>370</v>
      </c>
      <c r="L8" s="116">
        <f>'Segment Earnings'!L18</f>
        <v>361</v>
      </c>
      <c r="M8" s="112"/>
      <c r="N8" s="112"/>
      <c r="O8" s="109" t="s">
        <v>282</v>
      </c>
    </row>
    <row r="9" spans="1:17" s="74" customFormat="1" ht="15" customHeight="1" x14ac:dyDescent="0.25">
      <c r="A9" s="217">
        <f t="shared" ca="1" si="2"/>
        <v>1</v>
      </c>
      <c r="B9" s="316" t="s">
        <v>305</v>
      </c>
      <c r="C9" s="116">
        <f>'Segment Earnings'!C23</f>
        <v>0</v>
      </c>
      <c r="D9" s="116">
        <f>'Segment Earnings'!D23</f>
        <v>0</v>
      </c>
      <c r="E9" s="116">
        <f>'Segment Earnings'!E23</f>
        <v>0</v>
      </c>
      <c r="F9" s="116">
        <f>'Segment Earnings'!F23</f>
        <v>0</v>
      </c>
      <c r="G9" s="116">
        <f>'Segment Earnings'!G23</f>
        <v>0</v>
      </c>
      <c r="H9" s="116">
        <f>'Segment Earnings'!H23</f>
        <v>5</v>
      </c>
      <c r="I9" s="116">
        <f>'Segment Earnings'!I23</f>
        <v>138</v>
      </c>
      <c r="J9" s="116">
        <f>'Segment Earnings'!J23</f>
        <v>60</v>
      </c>
      <c r="K9" s="116">
        <f>'Segment Earnings'!K23</f>
        <v>0</v>
      </c>
      <c r="L9" s="116">
        <f>'Segment Earnings'!L23</f>
        <v>0</v>
      </c>
      <c r="M9" s="112"/>
      <c r="N9" s="112"/>
      <c r="O9" s="112"/>
    </row>
    <row r="10" spans="1:17" s="74" customFormat="1" ht="15" customHeight="1" x14ac:dyDescent="0.25">
      <c r="A10" s="217">
        <f t="shared" ca="1" si="2"/>
        <v>1</v>
      </c>
      <c r="B10" s="316" t="s">
        <v>306</v>
      </c>
      <c r="C10" s="116">
        <f>'Segment Earnings'!C28</f>
        <v>0</v>
      </c>
      <c r="D10" s="116">
        <f>'Segment Earnings'!D28</f>
        <v>0</v>
      </c>
      <c r="E10" s="116">
        <f>'Segment Earnings'!E28</f>
        <v>0</v>
      </c>
      <c r="F10" s="116">
        <f>'Segment Earnings'!F28</f>
        <v>0</v>
      </c>
      <c r="G10" s="116">
        <f>'Segment Earnings'!G28</f>
        <v>0</v>
      </c>
      <c r="H10" s="116">
        <f>'Segment Earnings'!H28</f>
        <v>0</v>
      </c>
      <c r="I10" s="116">
        <f>'Segment Earnings'!I28</f>
        <v>0</v>
      </c>
      <c r="J10" s="116">
        <f>'Segment Earnings'!J28</f>
        <v>211</v>
      </c>
      <c r="K10" s="116">
        <f>'Segment Earnings'!K28</f>
        <v>0</v>
      </c>
      <c r="L10" s="116">
        <f>'Segment Earnings'!L28</f>
        <v>0</v>
      </c>
      <c r="M10" s="112"/>
      <c r="N10" s="112"/>
      <c r="O10" s="109" t="s">
        <v>282</v>
      </c>
    </row>
    <row r="11" spans="1:17" s="74" customFormat="1" ht="15" customHeight="1" x14ac:dyDescent="0.25">
      <c r="A11" s="217">
        <f t="shared" ca="1" si="2"/>
        <v>1</v>
      </c>
      <c r="B11" s="316" t="s">
        <v>307</v>
      </c>
      <c r="C11" s="116">
        <f>'Segment Earnings'!C33</f>
        <v>0</v>
      </c>
      <c r="D11" s="116">
        <f>'Segment Earnings'!D33</f>
        <v>0</v>
      </c>
      <c r="E11" s="116">
        <f>'Segment Earnings'!E33</f>
        <v>0</v>
      </c>
      <c r="F11" s="116">
        <f>'Segment Earnings'!F33</f>
        <v>0</v>
      </c>
      <c r="G11" s="116">
        <f>'Segment Earnings'!G33</f>
        <v>0</v>
      </c>
      <c r="H11" s="116">
        <f>'Segment Earnings'!H33</f>
        <v>0</v>
      </c>
      <c r="I11" s="116">
        <f>'Segment Earnings'!I33</f>
        <v>0</v>
      </c>
      <c r="J11" s="116">
        <f>'Segment Earnings'!J33</f>
        <v>90</v>
      </c>
      <c r="K11" s="116">
        <f>'Segment Earnings'!K33</f>
        <v>0</v>
      </c>
      <c r="L11" s="116">
        <f>'Segment Earnings'!L33</f>
        <v>0</v>
      </c>
      <c r="M11" s="112"/>
      <c r="N11" s="112"/>
      <c r="O11" s="109" t="s">
        <v>282</v>
      </c>
    </row>
    <row r="12" spans="1:17" s="74" customFormat="1" ht="15" customHeight="1" x14ac:dyDescent="0.25">
      <c r="A12" s="217">
        <f t="shared" ca="1" si="2"/>
        <v>1</v>
      </c>
      <c r="B12" s="315" t="s">
        <v>308</v>
      </c>
      <c r="C12" s="259">
        <f t="shared" ref="C12:G12" si="3">SUBTOTAL(9,C13:C17)</f>
        <v>178.34593347441356</v>
      </c>
      <c r="D12" s="259">
        <f t="shared" si="3"/>
        <v>126.84999999999997</v>
      </c>
      <c r="E12" s="259">
        <f t="shared" si="3"/>
        <v>88.118846658949778</v>
      </c>
      <c r="F12" s="259">
        <f t="shared" si="3"/>
        <v>58.988347648318431</v>
      </c>
      <c r="G12" s="259">
        <f t="shared" si="3"/>
        <v>37.078698711812358</v>
      </c>
      <c r="H12" s="208">
        <f>SUBTOTAL(9,H13:H17)</f>
        <v>65</v>
      </c>
      <c r="I12" s="208">
        <f t="shared" ref="I12:L12" si="4">SUBTOTAL(9,I13:I17)</f>
        <v>-5</v>
      </c>
      <c r="J12" s="208">
        <f t="shared" si="4"/>
        <v>-17</v>
      </c>
      <c r="K12" s="208">
        <f t="shared" si="4"/>
        <v>-17</v>
      </c>
      <c r="L12" s="208">
        <f t="shared" si="4"/>
        <v>-10</v>
      </c>
      <c r="M12" s="111"/>
      <c r="N12" s="111"/>
      <c r="O12" s="73"/>
    </row>
    <row r="13" spans="1:17" s="74" customFormat="1" ht="15" customHeight="1" x14ac:dyDescent="0.25">
      <c r="A13" s="217">
        <f t="shared" ca="1" si="2"/>
        <v>2</v>
      </c>
      <c r="B13" s="82" t="s">
        <v>322</v>
      </c>
      <c r="C13" s="254">
        <f t="shared" ref="C13:F13" si="5">D13*$M13</f>
        <v>207.74593347441356</v>
      </c>
      <c r="D13" s="254">
        <f t="shared" si="5"/>
        <v>156.24999999999997</v>
      </c>
      <c r="E13" s="254">
        <f t="shared" si="5"/>
        <v>117.51884665894978</v>
      </c>
      <c r="F13" s="254">
        <f t="shared" si="5"/>
        <v>88.38834764831843</v>
      </c>
      <c r="G13" s="254">
        <f>H13*$M13</f>
        <v>66.478698711812356</v>
      </c>
      <c r="H13" s="116">
        <v>50</v>
      </c>
      <c r="I13" s="116">
        <v>28</v>
      </c>
      <c r="J13" s="116">
        <v>20</v>
      </c>
      <c r="K13" s="116">
        <v>27</v>
      </c>
      <c r="L13" s="111">
        <v>16</v>
      </c>
      <c r="M13" s="218">
        <f>(H13/L13)^(0.25)</f>
        <v>1.3295739742362471</v>
      </c>
      <c r="N13" s="218"/>
      <c r="O13" s="74" t="s">
        <v>1012</v>
      </c>
    </row>
    <row r="14" spans="1:17" s="74" customFormat="1" ht="15" customHeight="1" x14ac:dyDescent="0.25">
      <c r="A14" s="217">
        <f t="shared" ca="1" si="2"/>
        <v>2</v>
      </c>
      <c r="B14" s="82" t="s">
        <v>323</v>
      </c>
      <c r="C14" s="116">
        <v>0</v>
      </c>
      <c r="D14" s="116">
        <v>0</v>
      </c>
      <c r="E14" s="116">
        <v>0</v>
      </c>
      <c r="F14" s="116">
        <v>0</v>
      </c>
      <c r="G14" s="116">
        <v>0</v>
      </c>
      <c r="H14" s="116">
        <v>20</v>
      </c>
      <c r="I14" s="116">
        <v>2</v>
      </c>
      <c r="J14" s="116">
        <v>0</v>
      </c>
      <c r="K14" s="116">
        <v>0</v>
      </c>
      <c r="L14" s="116">
        <v>0</v>
      </c>
      <c r="M14" s="111"/>
      <c r="N14" s="111"/>
    </row>
    <row r="15" spans="1:17" s="74" customFormat="1" ht="15" customHeight="1" x14ac:dyDescent="0.25">
      <c r="A15" s="217">
        <f t="shared" ca="1" si="2"/>
        <v>2</v>
      </c>
      <c r="B15" s="82" t="s">
        <v>324</v>
      </c>
      <c r="C15" s="278">
        <f t="shared" ref="C15:F17" si="6">$M15</f>
        <v>-14.8</v>
      </c>
      <c r="D15" s="278">
        <f t="shared" si="6"/>
        <v>-14.8</v>
      </c>
      <c r="E15" s="278">
        <f t="shared" si="6"/>
        <v>-14.8</v>
      </c>
      <c r="F15" s="278">
        <f t="shared" si="6"/>
        <v>-14.8</v>
      </c>
      <c r="G15" s="278">
        <f>$M15</f>
        <v>-14.8</v>
      </c>
      <c r="H15" s="116">
        <v>-4</v>
      </c>
      <c r="I15" s="116">
        <v>-18</v>
      </c>
      <c r="J15" s="116">
        <v>-15</v>
      </c>
      <c r="K15" s="116">
        <v>-23</v>
      </c>
      <c r="L15" s="111">
        <v>-14</v>
      </c>
      <c r="M15" s="111">
        <f>AVERAGE(H15:L15)</f>
        <v>-14.8</v>
      </c>
      <c r="N15" s="111"/>
      <c r="O15" s="74" t="s">
        <v>1011</v>
      </c>
    </row>
    <row r="16" spans="1:17" s="74" customFormat="1" ht="15" customHeight="1" x14ac:dyDescent="0.25">
      <c r="A16" s="217">
        <f t="shared" ca="1" si="2"/>
        <v>2</v>
      </c>
      <c r="B16" s="82" t="s">
        <v>325</v>
      </c>
      <c r="C16" s="278">
        <f t="shared" si="6"/>
        <v>-13.2</v>
      </c>
      <c r="D16" s="278">
        <f t="shared" si="6"/>
        <v>-13.2</v>
      </c>
      <c r="E16" s="278">
        <f t="shared" si="6"/>
        <v>-13.2</v>
      </c>
      <c r="F16" s="278">
        <f t="shared" si="6"/>
        <v>-13.2</v>
      </c>
      <c r="G16" s="278">
        <f t="shared" ref="G16:G17" si="7">$M16</f>
        <v>-13.2</v>
      </c>
      <c r="H16" s="116">
        <v>-12</v>
      </c>
      <c r="I16" s="116">
        <v>-9</v>
      </c>
      <c r="J16" s="116">
        <v>-18</v>
      </c>
      <c r="K16" s="116">
        <v>-16</v>
      </c>
      <c r="L16" s="111">
        <v>-11</v>
      </c>
      <c r="M16" s="111">
        <f>AVERAGE(H16:L16)</f>
        <v>-13.2</v>
      </c>
      <c r="N16" s="111"/>
      <c r="O16" s="74" t="s">
        <v>1011</v>
      </c>
    </row>
    <row r="17" spans="1:15" s="74" customFormat="1" ht="15" customHeight="1" x14ac:dyDescent="0.25">
      <c r="A17" s="450">
        <f t="shared" ca="1" si="2"/>
        <v>2</v>
      </c>
      <c r="B17" s="451" t="s">
        <v>2</v>
      </c>
      <c r="C17" s="452">
        <f t="shared" si="6"/>
        <v>-1.4</v>
      </c>
      <c r="D17" s="452">
        <f t="shared" si="6"/>
        <v>-1.4</v>
      </c>
      <c r="E17" s="452">
        <f t="shared" si="6"/>
        <v>-1.4</v>
      </c>
      <c r="F17" s="452">
        <f t="shared" si="6"/>
        <v>-1.4</v>
      </c>
      <c r="G17" s="452">
        <f t="shared" si="7"/>
        <v>-1.4</v>
      </c>
      <c r="H17" s="117">
        <v>11</v>
      </c>
      <c r="I17" s="117">
        <v>-8</v>
      </c>
      <c r="J17" s="117">
        <v>-4</v>
      </c>
      <c r="K17" s="117">
        <v>-5</v>
      </c>
      <c r="L17" s="453">
        <v>-1</v>
      </c>
      <c r="M17" s="111">
        <f>AVERAGE(H17:L17)</f>
        <v>-1.4</v>
      </c>
      <c r="N17" s="111"/>
      <c r="O17" s="74" t="s">
        <v>1011</v>
      </c>
    </row>
    <row r="18" spans="1:15" s="74" customFormat="1" ht="15" customHeight="1" x14ac:dyDescent="0.25">
      <c r="A18" s="217">
        <f t="shared" ca="1" si="2"/>
        <v>0</v>
      </c>
      <c r="B18" s="83" t="s">
        <v>309</v>
      </c>
      <c r="C18" s="258">
        <f t="shared" ref="C18:G18" si="8">C4-C6-C7+C8-C9-C10-C11+C12</f>
        <v>2173.0089079731142</v>
      </c>
      <c r="D18" s="258">
        <f t="shared" si="8"/>
        <v>2261.4524319254419</v>
      </c>
      <c r="E18" s="258">
        <f t="shared" si="8"/>
        <v>2360.6918455975751</v>
      </c>
      <c r="F18" s="258">
        <f t="shared" si="8"/>
        <v>2467.6152763521013</v>
      </c>
      <c r="G18" s="258">
        <f t="shared" si="8"/>
        <v>2929.2988197912787</v>
      </c>
      <c r="H18" s="258">
        <f>H4-H6-H7+H8-H9-H10-H11+H12</f>
        <v>2365</v>
      </c>
      <c r="I18" s="84">
        <f t="shared" ref="I18:L18" si="9">I4-I6-I7+I8-I9-I10-I11+I12</f>
        <v>1928</v>
      </c>
      <c r="J18" s="84">
        <f t="shared" si="9"/>
        <v>2057</v>
      </c>
      <c r="K18" s="84">
        <f>K4-K6-K7+K8-K9-K10-K11+K12</f>
        <v>2365</v>
      </c>
      <c r="L18" s="84">
        <f t="shared" si="9"/>
        <v>2101</v>
      </c>
      <c r="M18" s="111"/>
      <c r="N18" s="111"/>
    </row>
    <row r="19" spans="1:15" s="76" customFormat="1" ht="15" customHeight="1" x14ac:dyDescent="0.25">
      <c r="A19" s="217">
        <f ca="1">IndentLevel(B19)</f>
        <v>1</v>
      </c>
      <c r="B19" s="315" t="s">
        <v>310</v>
      </c>
      <c r="C19" s="116">
        <f>'Segment Earnings'!C40</f>
        <v>10.399999999999499</v>
      </c>
      <c r="D19" s="116">
        <f>'Segment Earnings'!D40</f>
        <v>12.19999999999934</v>
      </c>
      <c r="E19" s="116">
        <f>'Segment Earnings'!E40</f>
        <v>13.999999999999977</v>
      </c>
      <c r="F19" s="116">
        <f>'Segment Earnings'!F40</f>
        <v>15.799999999999818</v>
      </c>
      <c r="G19" s="116">
        <f>'Segment Earnings'!G40</f>
        <v>17.59999999999966</v>
      </c>
      <c r="H19" s="116">
        <f>'Segment Earnings'!H40</f>
        <v>18</v>
      </c>
      <c r="I19" s="116">
        <f>'Segment Earnings'!I40</f>
        <v>23</v>
      </c>
      <c r="J19" s="116">
        <f>'Segment Earnings'!J40</f>
        <v>24</v>
      </c>
      <c r="K19" s="116">
        <f>'Segment Earnings'!K40</f>
        <v>23</v>
      </c>
      <c r="L19" s="116">
        <f>'Segment Earnings'!L40</f>
        <v>27</v>
      </c>
      <c r="M19" s="116"/>
      <c r="N19" s="116"/>
    </row>
    <row r="20" spans="1:15" s="76" customFormat="1" ht="15" customHeight="1" x14ac:dyDescent="0.25">
      <c r="A20" s="217">
        <f t="shared" ca="1" si="2"/>
        <v>1</v>
      </c>
      <c r="B20" s="315" t="s">
        <v>1</v>
      </c>
      <c r="C20" s="255">
        <f>'N9 Debt'!C50</f>
        <v>113.77629999999999</v>
      </c>
      <c r="D20" s="255">
        <f>'N9 Debt'!D50</f>
        <v>106.93469999999999</v>
      </c>
      <c r="E20" s="255">
        <f>'N9 Debt'!E50</f>
        <v>100.09309999999999</v>
      </c>
      <c r="F20" s="255">
        <f>'N9 Debt'!F50</f>
        <v>93.251499999999993</v>
      </c>
      <c r="G20" s="255">
        <f>'N9 Debt'!G50</f>
        <v>86.409899999999993</v>
      </c>
      <c r="H20" s="116">
        <v>81</v>
      </c>
      <c r="I20" s="116">
        <v>69</v>
      </c>
      <c r="J20" s="116">
        <v>65</v>
      </c>
      <c r="K20" s="116">
        <v>64</v>
      </c>
      <c r="L20" s="116">
        <v>41</v>
      </c>
      <c r="M20" s="116"/>
      <c r="N20" s="116"/>
      <c r="O20" s="77"/>
    </row>
    <row r="21" spans="1:15" s="77" customFormat="1" ht="15" customHeight="1" x14ac:dyDescent="0.25">
      <c r="A21" s="217">
        <f t="shared" ca="1" si="2"/>
        <v>1</v>
      </c>
      <c r="B21" s="315" t="s">
        <v>311</v>
      </c>
      <c r="C21" s="255">
        <f t="shared" ref="C21:G21" si="10">SUBTOTAL(9,C22:C29)</f>
        <v>125.0666666666674</v>
      </c>
      <c r="D21" s="255">
        <f t="shared" si="10"/>
        <v>114.0666666666674</v>
      </c>
      <c r="E21" s="255">
        <f t="shared" si="10"/>
        <v>105.0666666666674</v>
      </c>
      <c r="F21" s="255">
        <f t="shared" si="10"/>
        <v>94.066666666667402</v>
      </c>
      <c r="G21" s="255">
        <f t="shared" si="10"/>
        <v>85.066666666667402</v>
      </c>
      <c r="H21" s="255">
        <f>SUBTOTAL(9,H22:H29)</f>
        <v>63</v>
      </c>
      <c r="I21" s="116">
        <f t="shared" ref="I21:L21" si="11">SUBTOTAL(9,I22:I29)</f>
        <v>48</v>
      </c>
      <c r="J21" s="116">
        <f t="shared" si="11"/>
        <v>9</v>
      </c>
      <c r="K21" s="116">
        <f t="shared" si="11"/>
        <v>110</v>
      </c>
      <c r="L21" s="116">
        <f t="shared" si="11"/>
        <v>32</v>
      </c>
      <c r="M21" s="116"/>
      <c r="N21" s="116"/>
    </row>
    <row r="22" spans="1:15" s="77" customFormat="1" ht="15" customHeight="1" x14ac:dyDescent="0.25">
      <c r="A22" s="217">
        <f t="shared" ca="1" si="2"/>
        <v>2</v>
      </c>
      <c r="B22" s="82" t="s">
        <v>331</v>
      </c>
      <c r="C22" s="116">
        <f t="shared" ref="C22:F22" si="12">C$1*$M22+$N22</f>
        <v>69.200000000000728</v>
      </c>
      <c r="D22" s="116">
        <f t="shared" si="12"/>
        <v>62.200000000000728</v>
      </c>
      <c r="E22" s="116">
        <f t="shared" si="12"/>
        <v>55.200000000000728</v>
      </c>
      <c r="F22" s="116">
        <f t="shared" si="12"/>
        <v>48.200000000000728</v>
      </c>
      <c r="G22" s="116">
        <f>G$1*$M22+$N22</f>
        <v>41.200000000000728</v>
      </c>
      <c r="H22" s="116">
        <v>50</v>
      </c>
      <c r="I22" s="116">
        <v>18</v>
      </c>
      <c r="J22" s="116">
        <v>-3</v>
      </c>
      <c r="K22" s="116">
        <v>24</v>
      </c>
      <c r="L22" s="116">
        <v>12</v>
      </c>
      <c r="M22" s="116">
        <f>SLOPE(H22:L22,$H$1:$L$1)</f>
        <v>7</v>
      </c>
      <c r="N22" s="116">
        <f>INTERCEPT(H22:L22,$H$1:$L$1)</f>
        <v>-14084.8</v>
      </c>
      <c r="O22" s="77" t="s">
        <v>1013</v>
      </c>
    </row>
    <row r="23" spans="1:15" s="77" customFormat="1" ht="15" customHeight="1" x14ac:dyDescent="0.25">
      <c r="A23" s="217">
        <f t="shared" ca="1" si="2"/>
        <v>2</v>
      </c>
      <c r="B23" s="82" t="s">
        <v>326</v>
      </c>
      <c r="C23" s="116">
        <f t="shared" ref="C23:F23" si="13">D23+$M23</f>
        <v>17</v>
      </c>
      <c r="D23" s="116">
        <f t="shared" si="13"/>
        <v>15</v>
      </c>
      <c r="E23" s="116">
        <f t="shared" si="13"/>
        <v>13</v>
      </c>
      <c r="F23" s="116">
        <f t="shared" si="13"/>
        <v>11</v>
      </c>
      <c r="G23" s="116">
        <f>H23+$M23</f>
        <v>9</v>
      </c>
      <c r="H23" s="116">
        <v>7</v>
      </c>
      <c r="I23" s="116">
        <v>5</v>
      </c>
      <c r="J23" s="116"/>
      <c r="K23" s="116"/>
      <c r="L23" s="116"/>
      <c r="M23" s="116">
        <v>2</v>
      </c>
      <c r="N23" s="116"/>
      <c r="O23" s="77" t="s">
        <v>1014</v>
      </c>
    </row>
    <row r="24" spans="1:15" s="77" customFormat="1" ht="15" customHeight="1" x14ac:dyDescent="0.25">
      <c r="A24" s="217">
        <f t="shared" ca="1" si="2"/>
        <v>2</v>
      </c>
      <c r="B24" s="82" t="s">
        <v>327</v>
      </c>
      <c r="C24" s="116">
        <v>11</v>
      </c>
      <c r="D24" s="116">
        <v>9</v>
      </c>
      <c r="E24" s="116">
        <v>9</v>
      </c>
      <c r="F24" s="116">
        <v>7</v>
      </c>
      <c r="G24" s="116">
        <v>7</v>
      </c>
      <c r="H24" s="116">
        <v>5</v>
      </c>
      <c r="I24" s="116">
        <v>5</v>
      </c>
      <c r="J24" s="116">
        <v>3</v>
      </c>
      <c r="K24" s="116">
        <v>3</v>
      </c>
      <c r="L24" s="116">
        <v>5</v>
      </c>
      <c r="M24" s="116"/>
      <c r="N24" s="116"/>
      <c r="O24" s="77" t="s">
        <v>1014</v>
      </c>
    </row>
    <row r="25" spans="1:15" s="77" customFormat="1" ht="15" customHeight="1" x14ac:dyDescent="0.25">
      <c r="A25" s="217">
        <f t="shared" ca="1" si="2"/>
        <v>2</v>
      </c>
      <c r="B25" s="82" t="s">
        <v>328</v>
      </c>
      <c r="C25" s="255">
        <f t="shared" ref="C25:G29" si="14">$M25</f>
        <v>5.666666666666667</v>
      </c>
      <c r="D25" s="255">
        <f t="shared" si="14"/>
        <v>5.666666666666667</v>
      </c>
      <c r="E25" s="255">
        <f t="shared" si="14"/>
        <v>5.666666666666667</v>
      </c>
      <c r="F25" s="255">
        <f t="shared" si="14"/>
        <v>5.666666666666667</v>
      </c>
      <c r="G25" s="255">
        <f>$M25</f>
        <v>5.666666666666667</v>
      </c>
      <c r="H25" s="116">
        <v>0</v>
      </c>
      <c r="I25" s="116">
        <v>17</v>
      </c>
      <c r="J25" s="116">
        <v>0</v>
      </c>
      <c r="K25" s="116"/>
      <c r="M25" s="277">
        <f>AVERAGE($H25:$L25)</f>
        <v>5.666666666666667</v>
      </c>
      <c r="N25" s="277"/>
      <c r="O25" s="74" t="s">
        <v>1011</v>
      </c>
    </row>
    <row r="26" spans="1:15" s="77" customFormat="1" ht="15" customHeight="1" x14ac:dyDescent="0.25">
      <c r="A26" s="217">
        <f t="shared" ca="1" si="2"/>
        <v>2</v>
      </c>
      <c r="B26" s="82" t="s">
        <v>332</v>
      </c>
      <c r="C26" s="255">
        <f t="shared" si="14"/>
        <v>23.6</v>
      </c>
      <c r="D26" s="255">
        <f t="shared" si="14"/>
        <v>23.6</v>
      </c>
      <c r="E26" s="255">
        <f t="shared" si="14"/>
        <v>23.6</v>
      </c>
      <c r="F26" s="255">
        <f t="shared" si="14"/>
        <v>23.6</v>
      </c>
      <c r="G26" s="255">
        <f t="shared" si="14"/>
        <v>23.6</v>
      </c>
      <c r="H26" s="116">
        <v>0</v>
      </c>
      <c r="I26" s="116">
        <v>15</v>
      </c>
      <c r="J26" s="116">
        <v>18</v>
      </c>
      <c r="K26" s="116">
        <v>73</v>
      </c>
      <c r="L26" s="116">
        <v>12</v>
      </c>
      <c r="M26" s="277">
        <f t="shared" ref="M26:M29" si="15">AVERAGE($H26:$L26)</f>
        <v>23.6</v>
      </c>
      <c r="N26" s="277"/>
      <c r="O26" s="74" t="s">
        <v>1011</v>
      </c>
    </row>
    <row r="27" spans="1:15" s="77" customFormat="1" ht="15" customHeight="1" x14ac:dyDescent="0.25">
      <c r="A27" s="217">
        <f t="shared" ca="1" si="2"/>
        <v>2</v>
      </c>
      <c r="B27" s="82" t="s">
        <v>329</v>
      </c>
      <c r="C27" s="255">
        <f t="shared" si="14"/>
        <v>-13.8</v>
      </c>
      <c r="D27" s="255">
        <f t="shared" si="14"/>
        <v>-13.8</v>
      </c>
      <c r="E27" s="255">
        <f t="shared" si="14"/>
        <v>-13.8</v>
      </c>
      <c r="F27" s="255">
        <f t="shared" si="14"/>
        <v>-13.8</v>
      </c>
      <c r="G27" s="255">
        <f t="shared" si="14"/>
        <v>-13.8</v>
      </c>
      <c r="H27" s="116">
        <v>-6</v>
      </c>
      <c r="I27" s="116">
        <v>-12</v>
      </c>
      <c r="J27" s="116">
        <v>-18</v>
      </c>
      <c r="K27" s="116">
        <v>-6</v>
      </c>
      <c r="L27" s="116">
        <v>-27</v>
      </c>
      <c r="M27" s="277">
        <f t="shared" si="15"/>
        <v>-13.8</v>
      </c>
      <c r="N27" s="277"/>
      <c r="O27" s="74" t="s">
        <v>1011</v>
      </c>
    </row>
    <row r="28" spans="1:15" s="77" customFormat="1" ht="15" customHeight="1" x14ac:dyDescent="0.25">
      <c r="A28" s="217">
        <f t="shared" ca="1" si="2"/>
        <v>2</v>
      </c>
      <c r="B28" s="82" t="s">
        <v>330</v>
      </c>
      <c r="C28" s="255">
        <f t="shared" si="14"/>
        <v>-10</v>
      </c>
      <c r="D28" s="255">
        <f t="shared" si="14"/>
        <v>-10</v>
      </c>
      <c r="E28" s="255">
        <f t="shared" si="14"/>
        <v>-10</v>
      </c>
      <c r="F28" s="255">
        <f t="shared" si="14"/>
        <v>-10</v>
      </c>
      <c r="G28" s="255">
        <f t="shared" si="14"/>
        <v>-10</v>
      </c>
      <c r="H28" s="116">
        <v>-10</v>
      </c>
      <c r="I28" s="116">
        <v>-9</v>
      </c>
      <c r="J28" s="116">
        <v>-9</v>
      </c>
      <c r="K28" s="116">
        <v>-12</v>
      </c>
      <c r="L28" s="116">
        <v>-10</v>
      </c>
      <c r="M28" s="277">
        <f t="shared" si="15"/>
        <v>-10</v>
      </c>
      <c r="N28" s="277"/>
      <c r="O28" s="74" t="s">
        <v>1011</v>
      </c>
    </row>
    <row r="29" spans="1:15" s="77" customFormat="1" ht="15" customHeight="1" x14ac:dyDescent="0.25">
      <c r="A29" s="217">
        <f t="shared" ca="1" si="2"/>
        <v>2</v>
      </c>
      <c r="B29" s="82" t="s">
        <v>2</v>
      </c>
      <c r="C29" s="255">
        <f t="shared" si="14"/>
        <v>22.4</v>
      </c>
      <c r="D29" s="255">
        <f t="shared" si="14"/>
        <v>22.4</v>
      </c>
      <c r="E29" s="255">
        <f t="shared" si="14"/>
        <v>22.4</v>
      </c>
      <c r="F29" s="255">
        <f t="shared" si="14"/>
        <v>22.4</v>
      </c>
      <c r="G29" s="255">
        <f>$M29</f>
        <v>22.4</v>
      </c>
      <c r="H29" s="116">
        <v>17</v>
      </c>
      <c r="I29" s="116">
        <v>9</v>
      </c>
      <c r="J29" s="116">
        <v>18</v>
      </c>
      <c r="K29" s="116">
        <f>14+14</f>
        <v>28</v>
      </c>
      <c r="L29" s="116">
        <f>27+13</f>
        <v>40</v>
      </c>
      <c r="M29" s="277">
        <f t="shared" si="15"/>
        <v>22.4</v>
      </c>
      <c r="N29" s="277"/>
      <c r="O29" s="74" t="s">
        <v>1011</v>
      </c>
    </row>
    <row r="30" spans="1:15" s="77" customFormat="1" ht="15" customHeight="1" x14ac:dyDescent="0.25">
      <c r="A30" s="217">
        <f t="shared" ca="1" si="2"/>
        <v>0</v>
      </c>
      <c r="B30" s="83" t="s">
        <v>312</v>
      </c>
      <c r="C30" s="255">
        <f t="shared" ref="C30:G30" si="16">C18+C19-C20+C21</f>
        <v>2194.6992746397814</v>
      </c>
      <c r="D30" s="255">
        <f t="shared" si="16"/>
        <v>2280.784398592109</v>
      </c>
      <c r="E30" s="255">
        <f t="shared" si="16"/>
        <v>2379.6654122642426</v>
      </c>
      <c r="F30" s="255">
        <f t="shared" si="16"/>
        <v>2484.2304430187687</v>
      </c>
      <c r="G30" s="255">
        <f t="shared" si="16"/>
        <v>2945.5555864579455</v>
      </c>
      <c r="H30" s="255">
        <f>H18+H19-H20+H21</f>
        <v>2365</v>
      </c>
      <c r="I30" s="116">
        <f t="shared" ref="I30:L30" si="17">I18+I19-I20+I21</f>
        <v>1930</v>
      </c>
      <c r="J30" s="116">
        <f t="shared" si="17"/>
        <v>2025</v>
      </c>
      <c r="K30" s="116">
        <f>K18+K19-K20+K21</f>
        <v>2434</v>
      </c>
      <c r="L30" s="116">
        <f t="shared" si="17"/>
        <v>2119</v>
      </c>
      <c r="M30" s="116"/>
      <c r="N30" s="116"/>
    </row>
    <row r="31" spans="1:15" s="76" customFormat="1" ht="15" customHeight="1" x14ac:dyDescent="0.25">
      <c r="A31" s="217">
        <f ca="1">IndentLevel(B31)</f>
        <v>1</v>
      </c>
      <c r="B31" s="315" t="s">
        <v>313</v>
      </c>
      <c r="C31" s="255">
        <f t="shared" ref="C31:G31" si="18">SUBTOTAL(9,C32:C34)</f>
        <v>571.02954547557636</v>
      </c>
      <c r="D31" s="255">
        <f t="shared" si="18"/>
        <v>593.42767070882701</v>
      </c>
      <c r="E31" s="255">
        <f t="shared" si="18"/>
        <v>619.15510450616591</v>
      </c>
      <c r="F31" s="255">
        <f t="shared" si="18"/>
        <v>646.3614387289706</v>
      </c>
      <c r="G31" s="255">
        <f t="shared" si="18"/>
        <v>766.39168160484951</v>
      </c>
      <c r="H31" s="255">
        <f>SUBTOTAL(9,H32:H34)</f>
        <v>1371</v>
      </c>
      <c r="I31" s="116">
        <f t="shared" ref="I31:L31" si="19">SUBTOTAL(9,I32:I34)</f>
        <v>474</v>
      </c>
      <c r="J31" s="116">
        <f t="shared" si="19"/>
        <v>555</v>
      </c>
      <c r="K31" s="116">
        <f t="shared" si="19"/>
        <v>698</v>
      </c>
      <c r="L31" s="116">
        <f t="shared" si="19"/>
        <v>531</v>
      </c>
      <c r="M31" s="116"/>
      <c r="N31" s="116"/>
    </row>
    <row r="32" spans="1:15" s="76" customFormat="1" ht="15" customHeight="1" x14ac:dyDescent="0.25">
      <c r="A32" s="217">
        <f t="shared" ca="1" si="2"/>
        <v>2</v>
      </c>
      <c r="B32" s="82" t="s">
        <v>779</v>
      </c>
      <c r="C32" s="255">
        <f>'N2 Income Tax'!B28</f>
        <v>361.51075148347729</v>
      </c>
      <c r="D32" s="255">
        <f>'N2 Income Tax'!C28</f>
        <v>375.69068866720016</v>
      </c>
      <c r="E32" s="255">
        <f>'N2 Income Tax'!D28</f>
        <v>391.97836414653347</v>
      </c>
      <c r="F32" s="255">
        <f>'N2 Income Tax'!E28</f>
        <v>409.20231062693045</v>
      </c>
      <c r="G32" s="255">
        <f>'N2 Income Tax'!F28</f>
        <v>485.19176449426845</v>
      </c>
      <c r="H32" s="116">
        <f>'N2 Income Tax'!G28</f>
        <v>313</v>
      </c>
      <c r="I32" s="116">
        <f>'N2 Income Tax'!H28</f>
        <v>268</v>
      </c>
      <c r="J32" s="116">
        <f>'N2 Income Tax'!I28</f>
        <v>365</v>
      </c>
      <c r="K32" s="116">
        <f>'N2 Income Tax'!J28</f>
        <v>509</v>
      </c>
      <c r="L32" s="116">
        <f>'N2 Income Tax'!K28</f>
        <v>306</v>
      </c>
      <c r="M32" s="116"/>
      <c r="N32" s="116"/>
    </row>
    <row r="33" spans="1:17" s="76" customFormat="1" ht="15" customHeight="1" x14ac:dyDescent="0.25">
      <c r="A33" s="217">
        <f t="shared" ca="1" si="2"/>
        <v>2</v>
      </c>
      <c r="B33" s="82" t="s">
        <v>780</v>
      </c>
      <c r="C33" s="255">
        <f>'N2 Income Tax'!B29</f>
        <v>209.51879399209906</v>
      </c>
      <c r="D33" s="255">
        <f>'N2 Income Tax'!C29</f>
        <v>217.73698204162687</v>
      </c>
      <c r="E33" s="255">
        <f>'N2 Income Tax'!D29</f>
        <v>227.17674035963248</v>
      </c>
      <c r="F33" s="255">
        <f>'N2 Income Tax'!E29</f>
        <v>237.15912810204009</v>
      </c>
      <c r="G33" s="255">
        <f>'N2 Income Tax'!F29</f>
        <v>281.199917110581</v>
      </c>
      <c r="H33" s="116">
        <f>'N2 Income Tax'!G29</f>
        <v>277</v>
      </c>
      <c r="I33" s="116">
        <f>'N2 Income Tax'!H29</f>
        <v>206</v>
      </c>
      <c r="J33" s="116">
        <f>'N2 Income Tax'!I29</f>
        <v>190</v>
      </c>
      <c r="K33" s="116">
        <f>'N2 Income Tax'!J29</f>
        <v>189</v>
      </c>
      <c r="L33" s="116">
        <f>'N2 Income Tax'!K29</f>
        <v>225</v>
      </c>
      <c r="M33" s="116"/>
      <c r="N33" s="116"/>
    </row>
    <row r="34" spans="1:17" s="76" customFormat="1" ht="15" customHeight="1" x14ac:dyDescent="0.25">
      <c r="A34" s="217">
        <f t="shared" ca="1" si="2"/>
        <v>2</v>
      </c>
      <c r="B34" s="82" t="s">
        <v>781</v>
      </c>
      <c r="C34" s="116">
        <f>'N2 Income Tax'!B30</f>
        <v>0</v>
      </c>
      <c r="D34" s="116">
        <f>'N2 Income Tax'!C30</f>
        <v>0</v>
      </c>
      <c r="E34" s="255">
        <f>'N2 Income Tax'!D30</f>
        <v>0</v>
      </c>
      <c r="F34" s="116">
        <f>'N2 Income Tax'!E30</f>
        <v>0</v>
      </c>
      <c r="G34" s="116">
        <f>'N2 Income Tax'!F30</f>
        <v>0</v>
      </c>
      <c r="H34" s="116">
        <f>'N2 Income Tax'!G30</f>
        <v>781</v>
      </c>
      <c r="I34" s="116">
        <f>'N2 Income Tax'!H30</f>
        <v>0</v>
      </c>
      <c r="J34" s="116">
        <f>'N2 Income Tax'!I30</f>
        <v>0</v>
      </c>
      <c r="K34" s="116">
        <f>'N2 Income Tax'!J30</f>
        <v>0</v>
      </c>
      <c r="L34" s="116">
        <f>'N2 Income Tax'!K30</f>
        <v>0</v>
      </c>
      <c r="M34" s="116"/>
      <c r="N34" s="116"/>
    </row>
    <row r="35" spans="1:17" s="80" customFormat="1" ht="15" customHeight="1" x14ac:dyDescent="0.25">
      <c r="A35" s="74">
        <f t="shared" ca="1" si="2"/>
        <v>0</v>
      </c>
      <c r="B35" s="448" t="s">
        <v>314</v>
      </c>
      <c r="C35" s="255">
        <f>C30-C31</f>
        <v>1623.6697291642049</v>
      </c>
      <c r="D35" s="255">
        <f t="shared" ref="D35:G35" si="20">D30-D31</f>
        <v>1687.356727883282</v>
      </c>
      <c r="E35" s="255">
        <f t="shared" si="20"/>
        <v>1760.5103077580766</v>
      </c>
      <c r="F35" s="255">
        <f t="shared" si="20"/>
        <v>1837.8690042897981</v>
      </c>
      <c r="G35" s="255">
        <f t="shared" si="20"/>
        <v>2179.163904853096</v>
      </c>
      <c r="H35" s="255">
        <f t="shared" ref="H35:I35" si="21">H30-H31</f>
        <v>994</v>
      </c>
      <c r="I35" s="116">
        <f t="shared" si="21"/>
        <v>1456</v>
      </c>
      <c r="J35" s="116">
        <f>J30-J31</f>
        <v>1470</v>
      </c>
      <c r="K35" s="116">
        <f t="shared" ref="K35:L35" si="22">K30-K31</f>
        <v>1736</v>
      </c>
      <c r="L35" s="116">
        <f t="shared" si="22"/>
        <v>1588</v>
      </c>
      <c r="M35" s="116"/>
      <c r="N35" s="116"/>
    </row>
    <row r="36" spans="1:17" x14ac:dyDescent="0.25">
      <c r="A36" s="454">
        <f t="shared" ca="1" si="2"/>
        <v>0</v>
      </c>
      <c r="B36" s="449" t="s">
        <v>317</v>
      </c>
      <c r="C36" s="257">
        <f t="shared" ref="C36:E36" si="23">D36*$M36</f>
        <v>32.091844378668078</v>
      </c>
      <c r="D36" s="257">
        <f t="shared" si="23"/>
        <v>36.609523809523807</v>
      </c>
      <c r="E36" s="257">
        <f t="shared" si="23"/>
        <v>41.763172528998652</v>
      </c>
      <c r="F36" s="257">
        <f>G36*$M36</f>
        <v>47.642318123601797</v>
      </c>
      <c r="G36" s="257">
        <f>I36*$M36</f>
        <v>54.349091286454012</v>
      </c>
      <c r="H36" s="117">
        <v>-5</v>
      </c>
      <c r="I36" s="117">
        <v>62</v>
      </c>
      <c r="J36" s="117">
        <v>71</v>
      </c>
      <c r="K36" s="117">
        <v>85</v>
      </c>
      <c r="L36" s="117">
        <v>105</v>
      </c>
      <c r="M36" s="218">
        <f>(I36/L36)^(0.25)</f>
        <v>0.87659824655570984</v>
      </c>
      <c r="N36" s="218"/>
      <c r="O36" s="74" t="s">
        <v>1012</v>
      </c>
      <c r="P36" s="267" t="s">
        <v>1034</v>
      </c>
      <c r="Q36" s="435">
        <f>G36-H36</f>
        <v>59.349091286454012</v>
      </c>
    </row>
    <row r="37" spans="1:17" x14ac:dyDescent="0.25">
      <c r="C37" s="116"/>
      <c r="D37" s="116"/>
      <c r="E37" s="116"/>
      <c r="F37" s="116"/>
      <c r="G37" s="116"/>
      <c r="H37" s="116"/>
      <c r="Q37" s="6"/>
    </row>
    <row r="38" spans="1:17" ht="15.75" thickBot="1" x14ac:dyDescent="0.3">
      <c r="B38" s="83" t="s">
        <v>315</v>
      </c>
      <c r="C38" s="260">
        <f t="shared" ref="C38:G38" si="24">C35-C36</f>
        <v>1591.5778847855368</v>
      </c>
      <c r="D38" s="260">
        <f t="shared" si="24"/>
        <v>1650.7472040737582</v>
      </c>
      <c r="E38" s="260">
        <f t="shared" si="24"/>
        <v>1718.7471352290779</v>
      </c>
      <c r="F38" s="260">
        <f t="shared" si="24"/>
        <v>1790.2266861661963</v>
      </c>
      <c r="G38" s="260">
        <f t="shared" si="24"/>
        <v>2124.814813566642</v>
      </c>
      <c r="H38" s="260">
        <f>H35-H36</f>
        <v>999</v>
      </c>
      <c r="I38" s="260">
        <f t="shared" ref="I38:L38" si="25">I35-I36</f>
        <v>1394</v>
      </c>
      <c r="J38" s="260">
        <f t="shared" si="25"/>
        <v>1399</v>
      </c>
      <c r="K38" s="260">
        <f t="shared" si="25"/>
        <v>1651</v>
      </c>
      <c r="L38" s="260">
        <f t="shared" si="25"/>
        <v>1483</v>
      </c>
    </row>
    <row r="39" spans="1:17" ht="16.5" thickTop="1" thickBot="1" x14ac:dyDescent="0.3">
      <c r="B39" s="83" t="s">
        <v>316</v>
      </c>
      <c r="C39" s="436">
        <f t="shared" ref="C39:F39" si="26">C43</f>
        <v>11.427456904223767</v>
      </c>
      <c r="D39" s="436">
        <f t="shared" si="26"/>
        <v>11.409618900525656</v>
      </c>
      <c r="E39" s="436">
        <f t="shared" si="26"/>
        <v>11.451903192242369</v>
      </c>
      <c r="F39" s="436">
        <f t="shared" si="26"/>
        <v>11.5136272266563</v>
      </c>
      <c r="G39" s="436">
        <f>G43</f>
        <v>13.206524016703167</v>
      </c>
      <c r="H39" s="436">
        <f>H43</f>
        <v>5.9723490997670154</v>
      </c>
      <c r="I39" s="436">
        <f t="shared" ref="I39:L39" si="27">I43</f>
        <v>8.2321238780394665</v>
      </c>
      <c r="J39" s="436">
        <f t="shared" si="27"/>
        <v>7.8416281242330026</v>
      </c>
      <c r="K39" s="436">
        <f t="shared" si="27"/>
        <v>9.017950391386421</v>
      </c>
      <c r="L39" s="436">
        <f t="shared" si="27"/>
        <v>7.9128005748396175</v>
      </c>
    </row>
    <row r="40" spans="1:17" ht="15.75" thickTop="1" x14ac:dyDescent="0.25">
      <c r="C40" s="116"/>
      <c r="D40" s="116"/>
      <c r="E40" s="116"/>
      <c r="F40" s="116"/>
      <c r="G40" s="116"/>
      <c r="H40" s="116"/>
    </row>
    <row r="41" spans="1:17" x14ac:dyDescent="0.25">
      <c r="B41" s="4" t="s">
        <v>1284</v>
      </c>
      <c r="C41" s="116"/>
      <c r="D41" s="116"/>
      <c r="E41" s="116"/>
      <c r="F41" s="116"/>
      <c r="G41" s="116"/>
      <c r="H41" s="255"/>
      <c r="I41" s="116" t="s">
        <v>282</v>
      </c>
      <c r="J41" s="116" t="s">
        <v>282</v>
      </c>
    </row>
    <row r="42" spans="1:17" x14ac:dyDescent="0.25">
      <c r="B42" s="29" t="s">
        <v>14</v>
      </c>
      <c r="C42" s="277">
        <f>'N15 Stock'!C10</f>
        <v>11.48071496274156</v>
      </c>
      <c r="D42" s="277">
        <f>'N15 Stock'!D10</f>
        <v>11.458407106178832</v>
      </c>
      <c r="E42" s="277">
        <f>'N15 Stock'!E10</f>
        <v>11.496789297950668</v>
      </c>
      <c r="F42" s="277">
        <f>'N15 Stock'!F10</f>
        <v>11.554938278619755</v>
      </c>
      <c r="G42" s="277">
        <f>'N15 Stock'!G10</f>
        <v>13.249827692745972</v>
      </c>
      <c r="H42" s="277">
        <f>'N15 Stock'!H10</f>
        <v>5.9954873605043941</v>
      </c>
      <c r="I42" s="277">
        <f>'N15 Stock'!I10</f>
        <v>8.2466464278739959</v>
      </c>
      <c r="J42" s="277">
        <f>'N15 Stock'!J10</f>
        <v>7.8578915313391056</v>
      </c>
      <c r="K42" s="277">
        <f>'N15 Stock'!K10</f>
        <v>9.0397611952432477</v>
      </c>
      <c r="L42" s="277">
        <f>'N15 Stock'!L10</f>
        <v>7.9307195442909073</v>
      </c>
    </row>
    <row r="43" spans="1:17" x14ac:dyDescent="0.25">
      <c r="B43" s="29" t="s">
        <v>285</v>
      </c>
      <c r="C43" s="277">
        <f>'N15 Stock'!C11</f>
        <v>11.427456904223767</v>
      </c>
      <c r="D43" s="277">
        <f>'N15 Stock'!D11</f>
        <v>11.409618900525656</v>
      </c>
      <c r="E43" s="277">
        <f>'N15 Stock'!E11</f>
        <v>11.451903192242369</v>
      </c>
      <c r="F43" s="277">
        <f>'N15 Stock'!F11</f>
        <v>11.5136272266563</v>
      </c>
      <c r="G43" s="277">
        <f>'N15 Stock'!G11</f>
        <v>13.206524016703167</v>
      </c>
      <c r="H43" s="277">
        <f>'N15 Stock'!H11</f>
        <v>5.9723490997670154</v>
      </c>
      <c r="I43" s="277">
        <f>'N15 Stock'!I11</f>
        <v>8.2321238780394665</v>
      </c>
      <c r="J43" s="277">
        <f>'N15 Stock'!J11</f>
        <v>7.8416281242330026</v>
      </c>
      <c r="K43" s="277">
        <f>'N15 Stock'!K11</f>
        <v>9.017950391386421</v>
      </c>
      <c r="L43" s="277">
        <f>'N15 Stock'!L11</f>
        <v>7.9128005748396175</v>
      </c>
    </row>
    <row r="44" spans="1:17" x14ac:dyDescent="0.25">
      <c r="L44" s="116" t="s">
        <v>282</v>
      </c>
    </row>
    <row r="45" spans="1:17" x14ac:dyDescent="0.25">
      <c r="B45" s="29"/>
      <c r="C45" s="116"/>
      <c r="D45" s="116"/>
      <c r="E45" s="116"/>
      <c r="F45" s="116"/>
      <c r="G45" s="116"/>
      <c r="H45" s="116"/>
    </row>
    <row r="46" spans="1:17" x14ac:dyDescent="0.25">
      <c r="B46" s="72" t="s">
        <v>283</v>
      </c>
      <c r="C46" s="109"/>
      <c r="D46" s="109"/>
      <c r="E46" s="109"/>
      <c r="F46" s="109"/>
      <c r="G46" s="109"/>
      <c r="H46" s="109" t="s">
        <v>282</v>
      </c>
      <c r="I46" s="109" t="s">
        <v>282</v>
      </c>
      <c r="J46" s="109" t="s">
        <v>282</v>
      </c>
      <c r="K46" s="109" t="s">
        <v>282</v>
      </c>
      <c r="L46" s="109" t="s">
        <v>282</v>
      </c>
    </row>
    <row r="47" spans="1:17" x14ac:dyDescent="0.25">
      <c r="B47" s="70" t="s">
        <v>293</v>
      </c>
      <c r="C47" s="112"/>
      <c r="D47" s="112"/>
      <c r="E47" s="112"/>
      <c r="F47" s="112"/>
      <c r="G47" s="112"/>
      <c r="H47" s="112"/>
      <c r="I47" s="112"/>
      <c r="J47" s="112"/>
      <c r="K47" s="112"/>
      <c r="L47" s="112"/>
    </row>
    <row r="48" spans="1:17" x14ac:dyDescent="0.25">
      <c r="B48" s="75" t="s">
        <v>14</v>
      </c>
      <c r="C48" s="113"/>
      <c r="D48" s="113"/>
      <c r="E48" s="113"/>
      <c r="F48" s="113"/>
      <c r="G48" s="113"/>
      <c r="H48" s="113">
        <v>5.99</v>
      </c>
      <c r="I48" s="113">
        <v>8.25</v>
      </c>
      <c r="J48" s="113">
        <v>7.86</v>
      </c>
      <c r="K48" s="113">
        <v>9.0399999999999991</v>
      </c>
      <c r="L48" s="113">
        <v>7.93</v>
      </c>
    </row>
    <row r="49" spans="2:12" x14ac:dyDescent="0.25">
      <c r="B49" s="75" t="s">
        <v>285</v>
      </c>
      <c r="C49" s="114"/>
      <c r="D49" s="114"/>
      <c r="E49" s="114"/>
      <c r="F49" s="114"/>
      <c r="G49" s="114"/>
      <c r="H49" s="114">
        <v>5.97</v>
      </c>
      <c r="I49" s="114">
        <v>8.23</v>
      </c>
      <c r="J49" s="114">
        <v>7.84</v>
      </c>
      <c r="K49" s="114">
        <v>9.02</v>
      </c>
      <c r="L49" s="114">
        <v>7.91</v>
      </c>
    </row>
    <row r="50" spans="2:12" x14ac:dyDescent="0.25">
      <c r="B50" s="70" t="s">
        <v>286</v>
      </c>
      <c r="C50" s="114"/>
      <c r="D50" s="114"/>
      <c r="E50" s="114"/>
      <c r="F50" s="114"/>
      <c r="G50" s="114"/>
      <c r="H50" s="114">
        <v>4.21</v>
      </c>
      <c r="I50" s="114">
        <v>4</v>
      </c>
      <c r="J50" s="114">
        <v>3.51</v>
      </c>
      <c r="K50" s="114">
        <v>2.81</v>
      </c>
      <c r="L50" s="114">
        <v>2.25</v>
      </c>
    </row>
    <row r="51" spans="2:12" x14ac:dyDescent="0.25">
      <c r="B51" s="70" t="s">
        <v>287</v>
      </c>
      <c r="C51" s="110"/>
      <c r="D51" s="110"/>
      <c r="E51" s="110"/>
      <c r="F51" s="110"/>
      <c r="G51" s="110"/>
      <c r="H51" s="110">
        <f>'Cash Flow (Y)'!H44</f>
        <v>2277</v>
      </c>
      <c r="I51" s="110">
        <f>'Cash Flow (Y)'!I44</f>
        <v>1939</v>
      </c>
      <c r="J51" s="110">
        <f>'Cash Flow (Y)'!J44</f>
        <v>2065</v>
      </c>
      <c r="K51" s="110">
        <f>'Cash Flow (Y)'!K44</f>
        <v>2266</v>
      </c>
      <c r="L51" s="110">
        <f>'Cash Flow (Y)'!L44</f>
        <v>2089</v>
      </c>
    </row>
    <row r="52" spans="2:12" x14ac:dyDescent="0.25">
      <c r="B52" s="70" t="s">
        <v>12</v>
      </c>
      <c r="C52" s="110"/>
      <c r="D52" s="110"/>
      <c r="E52" s="110"/>
      <c r="F52" s="110"/>
      <c r="G52" s="110"/>
      <c r="H52" s="110">
        <f>'N21 Op Segs'!P21</f>
        <v>506</v>
      </c>
      <c r="I52" s="110">
        <f>'N21 Op Segs'!Q21</f>
        <v>531</v>
      </c>
      <c r="J52" s="110">
        <f>'N21 Op Segs'!R21</f>
        <v>744</v>
      </c>
      <c r="K52" s="110">
        <f>'N21 Op Segs'!S21</f>
        <v>743</v>
      </c>
      <c r="L52" s="110">
        <f>'N21 Op Segs'!T21</f>
        <v>676</v>
      </c>
    </row>
    <row r="53" spans="2:12" x14ac:dyDescent="0.25">
      <c r="B53" s="72" t="s">
        <v>288</v>
      </c>
      <c r="C53" s="109"/>
      <c r="D53" s="109"/>
      <c r="E53" s="109"/>
      <c r="F53" s="109"/>
      <c r="G53" s="109"/>
      <c r="H53" s="109" t="s">
        <v>282</v>
      </c>
      <c r="I53" s="109" t="s">
        <v>282</v>
      </c>
      <c r="J53" s="109" t="s">
        <v>282</v>
      </c>
      <c r="K53" s="109" t="s">
        <v>282</v>
      </c>
      <c r="L53" s="109" t="s">
        <v>282</v>
      </c>
    </row>
    <row r="54" spans="2:12" x14ac:dyDescent="0.25">
      <c r="B54" s="70" t="s">
        <v>4</v>
      </c>
      <c r="C54" s="110"/>
      <c r="D54" s="110"/>
      <c r="E54" s="110"/>
      <c r="F54" s="110"/>
      <c r="G54" s="110"/>
      <c r="H54" s="110">
        <f>'Cash Flow (Y)'!H74</f>
        <v>1369</v>
      </c>
      <c r="I54" s="110">
        <f>'Cash Flow (Y)'!I74</f>
        <v>1120</v>
      </c>
      <c r="J54" s="110">
        <f>'Cash Flow (Y)'!J74</f>
        <v>1711</v>
      </c>
      <c r="K54" s="110">
        <f>'Cash Flow (Y)'!K74</f>
        <v>2301</v>
      </c>
      <c r="L54" s="110">
        <f>'Cash Flow (Y)'!L74</f>
        <v>2699</v>
      </c>
    </row>
    <row r="55" spans="2:12" x14ac:dyDescent="0.25">
      <c r="B55" s="78" t="s">
        <v>10</v>
      </c>
      <c r="C55" s="110"/>
      <c r="D55" s="110"/>
      <c r="E55" s="110"/>
      <c r="F55" s="110"/>
      <c r="G55" s="110"/>
      <c r="H55" s="110">
        <f>'Balance Sheet (Y)'!H2</f>
        <v>18075</v>
      </c>
      <c r="I55" s="110">
        <f>'Balance Sheet (Y)'!I2</f>
        <v>15011</v>
      </c>
      <c r="J55" s="110">
        <f>'Balance Sheet (Y)'!J2</f>
        <v>15134</v>
      </c>
      <c r="K55" s="110">
        <f>'Balance Sheet (Y)'!K2</f>
        <v>15764</v>
      </c>
      <c r="L55" s="252">
        <v>14728</v>
      </c>
    </row>
    <row r="56" spans="2:12" x14ac:dyDescent="0.25">
      <c r="B56" s="70" t="s">
        <v>289</v>
      </c>
      <c r="C56" s="110"/>
      <c r="D56" s="110"/>
      <c r="E56" s="110"/>
      <c r="F56" s="110"/>
      <c r="G56" s="110"/>
      <c r="H56" s="110">
        <f>'Balance Sheet (Y)'!H68</f>
        <v>1588</v>
      </c>
      <c r="I56" s="110">
        <f>'Balance Sheet (Y)'!I68</f>
        <v>1568</v>
      </c>
      <c r="J56" s="110">
        <f>'Balance Sheet (Y)'!J68</f>
        <v>1576</v>
      </c>
      <c r="K56" s="110">
        <f>'Balance Sheet (Y)'!K68</f>
        <v>1577</v>
      </c>
      <c r="L56" s="252">
        <v>1672</v>
      </c>
    </row>
    <row r="57" spans="2:12" x14ac:dyDescent="0.25">
      <c r="B57" s="79" t="s">
        <v>290</v>
      </c>
      <c r="C57" s="110"/>
      <c r="D57" s="110"/>
      <c r="E57" s="110"/>
      <c r="F57" s="110"/>
      <c r="G57" s="110"/>
      <c r="H57" s="110">
        <f>'Balance Sheet (Y)'!H95</f>
        <v>8164</v>
      </c>
      <c r="I57" s="110">
        <f>'Balance Sheet (Y)'!I95</f>
        <v>7174</v>
      </c>
      <c r="J57" s="110">
        <f>'Balance Sheet (Y)'!J95</f>
        <v>7750</v>
      </c>
      <c r="K57" s="110">
        <f>'Balance Sheet (Y)'!K95</f>
        <v>8093</v>
      </c>
      <c r="L57" s="252">
        <v>7870</v>
      </c>
    </row>
    <row r="58" spans="2:12" x14ac:dyDescent="0.25">
      <c r="K58" s="116" t="s">
        <v>282</v>
      </c>
      <c r="L58" s="116" t="s">
        <v>282</v>
      </c>
    </row>
    <row r="59" spans="2:12" x14ac:dyDescent="0.25">
      <c r="K59" s="116" t="s">
        <v>282</v>
      </c>
      <c r="L59" s="116" t="s">
        <v>282</v>
      </c>
    </row>
    <row r="60" spans="2:12" x14ac:dyDescent="0.25">
      <c r="I60" s="115"/>
      <c r="J60" s="115"/>
      <c r="K60" s="115"/>
      <c r="L60" s="115"/>
    </row>
    <row r="62" spans="2:12" x14ac:dyDescent="0.25">
      <c r="B62" s="83" t="s">
        <v>411</v>
      </c>
    </row>
    <row r="63" spans="2:12" x14ac:dyDescent="0.25">
      <c r="B63" s="6" t="s">
        <v>295</v>
      </c>
      <c r="H63" s="115">
        <v>2017</v>
      </c>
      <c r="I63" s="116">
        <v>2016</v>
      </c>
      <c r="J63" s="116">
        <v>2015</v>
      </c>
    </row>
    <row r="64" spans="2:12" x14ac:dyDescent="0.25">
      <c r="B64" s="6" t="s">
        <v>314</v>
      </c>
      <c r="H64" s="115">
        <v>994</v>
      </c>
      <c r="I64" s="116">
        <v>1456</v>
      </c>
      <c r="J64" s="116">
        <v>1470</v>
      </c>
    </row>
    <row r="65" spans="2:10" x14ac:dyDescent="0.25">
      <c r="B65" s="6" t="s">
        <v>510</v>
      </c>
      <c r="H65" s="115" t="s">
        <v>282</v>
      </c>
      <c r="I65" s="116" t="s">
        <v>282</v>
      </c>
      <c r="J65" s="116" t="s">
        <v>282</v>
      </c>
    </row>
    <row r="67" spans="2:10" x14ac:dyDescent="0.25">
      <c r="B67" s="6" t="s">
        <v>509</v>
      </c>
      <c r="H67" s="115">
        <v>-4</v>
      </c>
      <c r="I67" s="116">
        <v>-31</v>
      </c>
      <c r="J67" s="116">
        <v>15</v>
      </c>
    </row>
    <row r="69" spans="2:10" x14ac:dyDescent="0.25">
      <c r="B69" s="6" t="s">
        <v>407</v>
      </c>
      <c r="H69" s="115">
        <v>335</v>
      </c>
      <c r="I69" s="116">
        <v>-448</v>
      </c>
      <c r="J69" s="116">
        <v>-305</v>
      </c>
    </row>
    <row r="70" spans="2:10" x14ac:dyDescent="0.25">
      <c r="B70" s="6" t="s">
        <v>408</v>
      </c>
      <c r="H70" s="115">
        <v>2</v>
      </c>
      <c r="I70" s="116">
        <v>1</v>
      </c>
      <c r="J70" s="116">
        <v>-1</v>
      </c>
    </row>
    <row r="71" spans="2:10" x14ac:dyDescent="0.25">
      <c r="B71" s="6" t="s">
        <v>409</v>
      </c>
      <c r="H71" s="115">
        <v>5</v>
      </c>
      <c r="I71" s="116">
        <v>-12</v>
      </c>
      <c r="J71" s="116">
        <v>6</v>
      </c>
    </row>
    <row r="72" spans="2:10" x14ac:dyDescent="0.25">
      <c r="B72" s="6" t="s">
        <v>512</v>
      </c>
      <c r="H72" s="115">
        <v>338</v>
      </c>
      <c r="I72" s="116">
        <v>-490</v>
      </c>
      <c r="J72" s="116">
        <v>-285</v>
      </c>
    </row>
    <row r="73" spans="2:10" x14ac:dyDescent="0.25">
      <c r="B73" s="6" t="s">
        <v>410</v>
      </c>
      <c r="H73" s="115">
        <v>1332</v>
      </c>
      <c r="I73" s="116">
        <v>966</v>
      </c>
      <c r="J73" s="116">
        <v>1185</v>
      </c>
    </row>
    <row r="74" spans="2:10" x14ac:dyDescent="0.25">
      <c r="B74" s="6" t="s">
        <v>511</v>
      </c>
      <c r="H74" s="115">
        <v>15</v>
      </c>
      <c r="I74" s="116">
        <v>45</v>
      </c>
      <c r="J74" s="116">
        <v>56</v>
      </c>
    </row>
    <row r="75" spans="2:10" x14ac:dyDescent="0.25">
      <c r="B75" s="6" t="s">
        <v>1001</v>
      </c>
      <c r="H75" s="115">
        <v>1317</v>
      </c>
      <c r="I75" s="116">
        <v>921</v>
      </c>
      <c r="J75" s="116">
        <v>1129</v>
      </c>
    </row>
  </sheetData>
  <printOptions headings="1"/>
  <pageMargins left="0.7" right="0.7" top="0.75" bottom="0.75" header="0.3" footer="0.3"/>
  <pageSetup pageOrder="overThenDown" orientation="portrait" r:id="rId1"/>
  <headerFooter>
    <oddHeader>&amp;R</oddHeader>
    <oddFooter>&amp;R</oddFooter>
    <evenHeader>&amp;R</evenHeader>
    <evenFooter>&amp;R</even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FE732-ADFB-4268-87F0-8EB81727820D}">
  <sheetPr codeName="Sheet8">
    <tabColor theme="8" tint="-0.249977111117893"/>
  </sheetPr>
  <dimension ref="A1:V127"/>
  <sheetViews>
    <sheetView zoomScale="90" zoomScaleNormal="90" workbookViewId="0">
      <pane ySplit="1" topLeftCell="A2" activePane="bottomLeft" state="frozen"/>
      <selection pane="bottomLeft" activeCell="F10" sqref="F10"/>
    </sheetView>
  </sheetViews>
  <sheetFormatPr defaultColWidth="8.85546875" defaultRowHeight="15" x14ac:dyDescent="0.25"/>
  <cols>
    <col min="1" max="1" width="6.42578125" style="119" bestFit="1" customWidth="1"/>
    <col min="2" max="2" width="47.28515625" style="98" bestFit="1" customWidth="1"/>
    <col min="3" max="3" width="9.5703125" style="6" bestFit="1" customWidth="1"/>
    <col min="4" max="6" width="8.85546875" style="6"/>
    <col min="7" max="7" width="8.85546875" style="6" customWidth="1"/>
    <col min="8" max="9" width="8.85546875" style="115"/>
    <col min="10" max="13" width="8.85546875" style="119"/>
    <col min="14" max="14" width="16.7109375" style="267" bestFit="1" customWidth="1"/>
    <col min="15" max="15" width="24.7109375" style="4" bestFit="1" customWidth="1"/>
    <col min="16" max="18" width="8.85546875" style="4"/>
    <col min="19" max="19" width="37" style="4" bestFit="1" customWidth="1"/>
    <col min="20" max="16384" width="8.85546875" style="4"/>
  </cols>
  <sheetData>
    <row r="1" spans="1:16" x14ac:dyDescent="0.25">
      <c r="A1" s="119" t="s">
        <v>1222</v>
      </c>
      <c r="B1" s="125" t="s">
        <v>412</v>
      </c>
      <c r="C1" s="235">
        <v>2022</v>
      </c>
      <c r="D1" s="235">
        <v>2021</v>
      </c>
      <c r="E1" s="235">
        <v>2020</v>
      </c>
      <c r="F1" s="235">
        <v>2019</v>
      </c>
      <c r="G1" s="235">
        <v>2018</v>
      </c>
      <c r="H1" s="235">
        <v>2017</v>
      </c>
      <c r="I1" s="235">
        <v>2016</v>
      </c>
      <c r="J1" s="235">
        <v>2015</v>
      </c>
      <c r="K1" s="235">
        <v>2014</v>
      </c>
      <c r="L1" s="119" t="s">
        <v>1028</v>
      </c>
      <c r="M1" s="119" t="s">
        <v>1116</v>
      </c>
      <c r="N1" s="119" t="s">
        <v>1025</v>
      </c>
      <c r="O1" s="4" t="s">
        <v>1002</v>
      </c>
      <c r="P1" t="s">
        <v>1152</v>
      </c>
    </row>
    <row r="2" spans="1:16" x14ac:dyDescent="0.25">
      <c r="A2" s="119">
        <f ca="1">IndentLevel(B2)</f>
        <v>0</v>
      </c>
      <c r="B2" s="167" t="s">
        <v>413</v>
      </c>
      <c r="C2" s="198">
        <f t="shared" ref="C2:G2" si="0">SUBTOTAL(9,C4:C54)</f>
        <v>22787.408727564994</v>
      </c>
      <c r="D2" s="198">
        <f t="shared" si="0"/>
        <v>21829.879806084624</v>
      </c>
      <c r="E2" s="198">
        <f t="shared" si="0"/>
        <v>20914.93346543732</v>
      </c>
      <c r="F2" s="198">
        <f t="shared" si="0"/>
        <v>19413.897463821948</v>
      </c>
      <c r="G2" s="198">
        <f t="shared" si="0"/>
        <v>18564.196675971038</v>
      </c>
      <c r="H2" s="198">
        <f>SUBTOTAL(9,H4:H54)</f>
        <v>18075</v>
      </c>
      <c r="I2" s="198">
        <f>SUBTOTAL(9,I4:I54)</f>
        <v>15011</v>
      </c>
      <c r="J2" s="198">
        <f>SUBTOTAL(9,J4:J54)</f>
        <v>15134</v>
      </c>
      <c r="K2" s="198">
        <f>SUBTOTAL(9,K4:K54)</f>
        <v>15764</v>
      </c>
    </row>
    <row r="3" spans="1:16" x14ac:dyDescent="0.25">
      <c r="A3" s="119">
        <f ca="1">IndentLevel(B3)</f>
        <v>1</v>
      </c>
      <c r="B3" s="130" t="s">
        <v>414</v>
      </c>
      <c r="C3" s="103">
        <f t="shared" ref="C3:G3" si="1">SUBTOTAL(9,C4:C20)</f>
        <v>11065.811057401801</v>
      </c>
      <c r="D3" s="103">
        <f t="shared" si="1"/>
        <v>10608.456411204606</v>
      </c>
      <c r="E3" s="103">
        <f t="shared" si="1"/>
        <v>10174.834873437338</v>
      </c>
      <c r="F3" s="103">
        <f t="shared" si="1"/>
        <v>9757.8346638219446</v>
      </c>
      <c r="G3" s="103">
        <f t="shared" si="1"/>
        <v>9353.1266759710379</v>
      </c>
      <c r="H3" s="103">
        <f>SUBTOTAL(9,H4:H20)</f>
        <v>8928</v>
      </c>
      <c r="I3" s="103">
        <f>SUBTOTAL(9,I5:I20)</f>
        <v>7707</v>
      </c>
      <c r="J3" s="103">
        <f>SUBTOTAL(9,J5:J20)</f>
        <v>7947</v>
      </c>
      <c r="K3" s="103">
        <f>SUBTOTAL(9,K5:K20)</f>
        <v>9055</v>
      </c>
    </row>
    <row r="4" spans="1:16" x14ac:dyDescent="0.25">
      <c r="A4" s="119">
        <f t="shared" ref="A4:A67" ca="1" si="2">IndentLevel(B4)</f>
        <v>2</v>
      </c>
      <c r="B4" s="129" t="s">
        <v>507</v>
      </c>
      <c r="C4" s="103">
        <f t="shared" ref="C4:G4" si="3">SUBTOTAL(9,C5:C11)</f>
        <v>2689.5760795544661</v>
      </c>
      <c r="D4" s="103">
        <f t="shared" si="3"/>
        <v>2533.2632170321281</v>
      </c>
      <c r="E4" s="103">
        <f t="shared" si="3"/>
        <v>2382.682898870331</v>
      </c>
      <c r="F4" s="103">
        <f t="shared" si="3"/>
        <v>2231.8158238300716</v>
      </c>
      <c r="G4" s="103">
        <f t="shared" si="3"/>
        <v>2077.3590605046284</v>
      </c>
      <c r="H4" s="103">
        <f>SUBTOTAL(9,H5:H11)</f>
        <v>1567</v>
      </c>
      <c r="I4" s="103">
        <f>SUBTOTAL(9,I5:I11)</f>
        <v>1380</v>
      </c>
      <c r="J4" s="103">
        <f>SUBTOTAL(9,J5:J11)</f>
        <v>1811</v>
      </c>
      <c r="K4" s="103">
        <f>SUBTOTAL(9,K5:K11)</f>
        <v>2394</v>
      </c>
    </row>
    <row r="5" spans="1:16" x14ac:dyDescent="0.25">
      <c r="A5" s="119">
        <f t="shared" ca="1" si="2"/>
        <v>3</v>
      </c>
      <c r="B5" s="135" t="s">
        <v>4</v>
      </c>
      <c r="C5" s="190">
        <f>'Cash Flow (Y)'!C74</f>
        <v>2272.076079554472</v>
      </c>
      <c r="D5" s="190">
        <f>'Cash Flow (Y)'!D74</f>
        <v>2150.3632170321252</v>
      </c>
      <c r="E5" s="190">
        <f>'Cash Flow (Y)'!E74</f>
        <v>2034.382898870334</v>
      </c>
      <c r="F5" s="190">
        <f>'Cash Flow (Y)'!F74</f>
        <v>1918.1158238300661</v>
      </c>
      <c r="G5" s="190">
        <f>'Cash Flow (Y)'!G74</f>
        <v>1798.2590605046285</v>
      </c>
      <c r="H5" s="190">
        <f>'Cash Flow (Y)'!H74</f>
        <v>1369</v>
      </c>
      <c r="I5" s="190">
        <f>'Cash Flow (Y)'!I74</f>
        <v>1120</v>
      </c>
      <c r="J5" s="190">
        <f>'Cash Flow (Y)'!J74</f>
        <v>1711</v>
      </c>
      <c r="K5" s="190">
        <f>'Cash Flow (Y)'!K74</f>
        <v>2301</v>
      </c>
    </row>
    <row r="6" spans="1:16" x14ac:dyDescent="0.25">
      <c r="A6" s="119">
        <f t="shared" ca="1" si="2"/>
        <v>3</v>
      </c>
      <c r="B6" s="135" t="s">
        <v>415</v>
      </c>
      <c r="C6" s="185">
        <f t="shared" ref="C6:G6" si="4">SUBTOTAL(9,C7:C11)</f>
        <v>417.4999999999942</v>
      </c>
      <c r="D6" s="185">
        <f t="shared" si="4"/>
        <v>382.90000000000293</v>
      </c>
      <c r="E6" s="185">
        <f t="shared" si="4"/>
        <v>348.29999999999711</v>
      </c>
      <c r="F6" s="185">
        <f t="shared" si="4"/>
        <v>313.70000000000584</v>
      </c>
      <c r="G6" s="185">
        <f t="shared" si="4"/>
        <v>279.10000000000002</v>
      </c>
      <c r="H6" s="185">
        <f>SUBTOTAL(9,H7:H11)</f>
        <v>198</v>
      </c>
      <c r="I6" s="185">
        <f>SUBTOTAL(9,I7:I11)</f>
        <v>260</v>
      </c>
      <c r="J6" s="185">
        <f>SUBTOTAL(9,J7:J11)</f>
        <v>100</v>
      </c>
      <c r="K6" s="185">
        <f>SUBTOTAL(9,K7:K11)</f>
        <v>93</v>
      </c>
    </row>
    <row r="7" spans="1:16" x14ac:dyDescent="0.25">
      <c r="A7" s="119">
        <f t="shared" ca="1" si="2"/>
        <v>4</v>
      </c>
      <c r="B7" s="144" t="s">
        <v>645</v>
      </c>
      <c r="C7" s="119">
        <f>'N4 Mkt Securities'!B16</f>
        <v>328.39999999999418</v>
      </c>
      <c r="D7" s="119">
        <f>'N4 Mkt Securities'!C16</f>
        <v>295.80000000000291</v>
      </c>
      <c r="E7" s="119">
        <f>'N4 Mkt Securities'!D16</f>
        <v>263.19999999999709</v>
      </c>
      <c r="F7" s="119">
        <f>'N4 Mkt Securities'!E16</f>
        <v>230.60000000000582</v>
      </c>
      <c r="G7" s="119">
        <f>'N4 Mkt Securities'!F16</f>
        <v>198</v>
      </c>
      <c r="H7" s="119">
        <f>'N4 Mkt Securities'!G16</f>
        <v>170</v>
      </c>
      <c r="I7" s="119">
        <f>'N4 Mkt Securities'!H16</f>
        <v>132</v>
      </c>
      <c r="J7" s="119">
        <f>'N4 Mkt Securities'!I16</f>
        <v>88</v>
      </c>
      <c r="K7" s="119">
        <f>'N4 Mkt Securities'!J16</f>
        <v>76</v>
      </c>
      <c r="N7" s="10" t="s">
        <v>1020</v>
      </c>
    </row>
    <row r="8" spans="1:16" x14ac:dyDescent="0.25">
      <c r="A8" s="119">
        <f t="shared" ca="1" si="2"/>
        <v>4</v>
      </c>
      <c r="B8" s="144" t="s">
        <v>646</v>
      </c>
      <c r="C8" s="119">
        <f>'N4 Mkt Securities'!B17</f>
        <v>32.6</v>
      </c>
      <c r="D8" s="119">
        <f>'N4 Mkt Securities'!C17</f>
        <v>32.6</v>
      </c>
      <c r="E8" s="119">
        <f>'N4 Mkt Securities'!D17</f>
        <v>32.6</v>
      </c>
      <c r="F8" s="119">
        <f>'N4 Mkt Securities'!E17</f>
        <v>32.6</v>
      </c>
      <c r="G8" s="119">
        <f>'N4 Mkt Securities'!F17</f>
        <v>32.6</v>
      </c>
      <c r="H8" s="119">
        <f>'N4 Mkt Securities'!G17</f>
        <v>0</v>
      </c>
      <c r="I8" s="119">
        <f>'N4 Mkt Securities'!H17</f>
        <v>114</v>
      </c>
      <c r="J8" s="119">
        <f>'N4 Mkt Securities'!I17</f>
        <v>0</v>
      </c>
      <c r="K8" s="119">
        <f>'N4 Mkt Securities'!J17</f>
        <v>6</v>
      </c>
      <c r="N8" s="10" t="s">
        <v>1011</v>
      </c>
    </row>
    <row r="9" spans="1:16" x14ac:dyDescent="0.25">
      <c r="A9" s="119">
        <f t="shared" ca="1" si="2"/>
        <v>4</v>
      </c>
      <c r="B9" s="144" t="s">
        <v>647</v>
      </c>
      <c r="C9" s="119">
        <f>'N4 Mkt Securities'!B18</f>
        <v>24.5</v>
      </c>
      <c r="D9" s="119">
        <f>'N4 Mkt Securities'!C18</f>
        <v>22.5</v>
      </c>
      <c r="E9" s="119">
        <f>'N4 Mkt Securities'!D18</f>
        <v>20.5</v>
      </c>
      <c r="F9" s="119">
        <f>'N4 Mkt Securities'!E18</f>
        <v>18.5</v>
      </c>
      <c r="G9" s="119">
        <f>'N4 Mkt Securities'!F18</f>
        <v>16.5</v>
      </c>
      <c r="H9" s="119">
        <f>'N4 Mkt Securities'!G18</f>
        <v>15</v>
      </c>
      <c r="I9" s="119">
        <f>'N4 Mkt Securities'!H18</f>
        <v>12</v>
      </c>
      <c r="J9" s="119">
        <f>'N4 Mkt Securities'!I18</f>
        <v>10</v>
      </c>
      <c r="K9" s="119">
        <f>'N4 Mkt Securities'!J18</f>
        <v>9</v>
      </c>
      <c r="N9" s="10" t="s">
        <v>1020</v>
      </c>
    </row>
    <row r="10" spans="1:16" x14ac:dyDescent="0.25">
      <c r="A10" s="119">
        <f t="shared" ca="1" si="2"/>
        <v>4</v>
      </c>
      <c r="B10" s="144" t="s">
        <v>648</v>
      </c>
      <c r="C10" s="119">
        <f>'N4 Mkt Securities'!B19</f>
        <v>2</v>
      </c>
      <c r="D10" s="119">
        <f>'N4 Mkt Securities'!C19</f>
        <v>2</v>
      </c>
      <c r="E10" s="119">
        <f>'N4 Mkt Securities'!D19</f>
        <v>2</v>
      </c>
      <c r="F10" s="119">
        <f>'N4 Mkt Securities'!E19</f>
        <v>2</v>
      </c>
      <c r="G10" s="119">
        <f>'N4 Mkt Securities'!F19</f>
        <v>2</v>
      </c>
      <c r="H10" s="119">
        <f>'N4 Mkt Securities'!G19</f>
        <v>12</v>
      </c>
      <c r="I10" s="119">
        <f>'N4 Mkt Securities'!H19</f>
        <v>0</v>
      </c>
      <c r="J10" s="119">
        <f>'N4 Mkt Securities'!I19</f>
        <v>0</v>
      </c>
      <c r="K10" s="119">
        <f>'N4 Mkt Securities'!J19</f>
        <v>0</v>
      </c>
      <c r="N10" s="10" t="s">
        <v>1011</v>
      </c>
    </row>
    <row r="11" spans="1:16" x14ac:dyDescent="0.25">
      <c r="A11" s="119">
        <f t="shared" ca="1" si="2"/>
        <v>4</v>
      </c>
      <c r="B11" s="144" t="s">
        <v>649</v>
      </c>
      <c r="C11" s="119">
        <f>'N4 Mkt Securities'!B20</f>
        <v>30</v>
      </c>
      <c r="D11" s="119">
        <f>'N4 Mkt Securities'!C20</f>
        <v>30</v>
      </c>
      <c r="E11" s="119">
        <f>'N4 Mkt Securities'!D20</f>
        <v>30</v>
      </c>
      <c r="F11" s="119">
        <f>'N4 Mkt Securities'!E20</f>
        <v>30</v>
      </c>
      <c r="G11" s="119">
        <f>'N4 Mkt Securities'!F20</f>
        <v>30</v>
      </c>
      <c r="H11" s="119">
        <f>'N4 Mkt Securities'!G20</f>
        <v>1</v>
      </c>
      <c r="I11" s="119">
        <f>'N4 Mkt Securities'!H20</f>
        <v>2</v>
      </c>
      <c r="J11" s="119">
        <f>'N4 Mkt Securities'!I20</f>
        <v>2</v>
      </c>
      <c r="K11" s="119">
        <f>'N4 Mkt Securities'!J20</f>
        <v>2</v>
      </c>
      <c r="N11" s="10" t="s">
        <v>1011</v>
      </c>
    </row>
    <row r="12" spans="1:16" x14ac:dyDescent="0.25">
      <c r="A12" s="119">
        <f t="shared" ca="1" si="2"/>
        <v>2</v>
      </c>
      <c r="B12" s="131" t="s">
        <v>378</v>
      </c>
      <c r="C12" s="262">
        <f t="shared" ref="C12:G12" si="5">SUBTOTAL(9,C13:C14)</f>
        <v>4886.8849778473359</v>
      </c>
      <c r="D12" s="262">
        <f t="shared" si="5"/>
        <v>4590.2931941724801</v>
      </c>
      <c r="E12" s="262">
        <f t="shared" si="5"/>
        <v>4311.701974567005</v>
      </c>
      <c r="F12" s="262">
        <f t="shared" si="5"/>
        <v>4050.0188399918716</v>
      </c>
      <c r="G12" s="262">
        <f t="shared" si="5"/>
        <v>3804.2176154664107</v>
      </c>
      <c r="H12" s="262">
        <f>SUBTOTAL(9,H13:H14)</f>
        <v>3618</v>
      </c>
      <c r="I12" s="262">
        <f>SUBTOTAL(9,I13:I14)</f>
        <v>3025</v>
      </c>
      <c r="J12" s="262">
        <f>SUBTOTAL(9,J13:J14)</f>
        <v>2820</v>
      </c>
      <c r="K12" s="262">
        <f>SUBTOTAL(9,K13:K14)</f>
        <v>2946</v>
      </c>
    </row>
    <row r="13" spans="1:16" x14ac:dyDescent="0.25">
      <c r="A13" s="119">
        <f t="shared" ca="1" si="2"/>
        <v>3</v>
      </c>
      <c r="B13" s="135" t="s">
        <v>416</v>
      </c>
      <c r="C13" s="100">
        <f t="shared" ref="C13:F13" si="6">D13*$L13</f>
        <v>4528.1169695615008</v>
      </c>
      <c r="D13" s="100">
        <f t="shared" si="6"/>
        <v>4253.2993107095799</v>
      </c>
      <c r="E13" s="100">
        <f t="shared" si="6"/>
        <v>3995.1607142857142</v>
      </c>
      <c r="F13" s="100">
        <f t="shared" si="6"/>
        <v>3752.6889050065711</v>
      </c>
      <c r="G13" s="100">
        <f>H13*$L13</f>
        <v>3524.9330439707301</v>
      </c>
      <c r="H13" s="262">
        <v>3311</v>
      </c>
      <c r="I13" s="262">
        <v>2803</v>
      </c>
      <c r="J13" s="263">
        <v>2640</v>
      </c>
      <c r="K13" s="100">
        <v>2744</v>
      </c>
      <c r="L13" s="265">
        <f>(H13/K13)^(1/3)</f>
        <v>1.0646128190790487</v>
      </c>
      <c r="M13" s="265"/>
      <c r="N13" s="267" t="s">
        <v>1012</v>
      </c>
    </row>
    <row r="14" spans="1:16" x14ac:dyDescent="0.25">
      <c r="A14" s="119">
        <f t="shared" ca="1" si="2"/>
        <v>3</v>
      </c>
      <c r="B14" s="135" t="s">
        <v>417</v>
      </c>
      <c r="C14" s="100">
        <f t="shared" ref="C14:F14" si="7">C13*$L14</f>
        <v>358.7680082858347</v>
      </c>
      <c r="D14" s="100">
        <f t="shared" si="7"/>
        <v>336.99388346290027</v>
      </c>
      <c r="E14" s="100">
        <f t="shared" si="7"/>
        <v>316.54126028129116</v>
      </c>
      <c r="F14" s="100">
        <f t="shared" si="7"/>
        <v>297.32993498530055</v>
      </c>
      <c r="G14" s="100">
        <f>G13*$L14</f>
        <v>279.28457149568055</v>
      </c>
      <c r="H14" s="262">
        <v>307</v>
      </c>
      <c r="I14" s="262">
        <v>222</v>
      </c>
      <c r="J14" s="263">
        <v>180</v>
      </c>
      <c r="K14" s="100">
        <v>202</v>
      </c>
      <c r="L14" s="265">
        <f>SUM(H14:K14)/SUM(H13:K13)</f>
        <v>7.9231170638371887E-2</v>
      </c>
      <c r="M14" s="265"/>
      <c r="N14" s="267" t="s">
        <v>1029</v>
      </c>
      <c r="O14" s="4" t="s">
        <v>1030</v>
      </c>
    </row>
    <row r="15" spans="1:16" x14ac:dyDescent="0.25">
      <c r="A15" s="119">
        <f t="shared" ca="1" si="2"/>
        <v>2</v>
      </c>
      <c r="B15" s="131" t="s">
        <v>418</v>
      </c>
      <c r="C15" s="262">
        <f t="shared" ref="C15:G15" si="8">SUBTOTAL(9,C16:C19)</f>
        <v>3012.0999999999985</v>
      </c>
      <c r="D15" s="262">
        <f t="shared" si="8"/>
        <v>2987.6999999999971</v>
      </c>
      <c r="E15" s="262">
        <f t="shared" si="8"/>
        <v>2963.3000000000029</v>
      </c>
      <c r="F15" s="262">
        <f t="shared" si="8"/>
        <v>2938.9000000000015</v>
      </c>
      <c r="G15" s="262">
        <f t="shared" si="8"/>
        <v>2914.5</v>
      </c>
      <c r="H15" s="262">
        <f>SUBTOTAL(9,H16:H19)</f>
        <v>3166</v>
      </c>
      <c r="I15" s="262">
        <f>SUBTOTAL(9,I16:I19)</f>
        <v>2675</v>
      </c>
      <c r="J15" s="262">
        <f>SUBTOTAL(9,J16:J19)</f>
        <v>2707</v>
      </c>
      <c r="K15" s="262">
        <f>SUBTOTAL(9,K16:K19)</f>
        <v>2866</v>
      </c>
    </row>
    <row r="16" spans="1:16" x14ac:dyDescent="0.25">
      <c r="A16" s="119">
        <f t="shared" ca="1" si="2"/>
        <v>3</v>
      </c>
      <c r="B16" s="132" t="s">
        <v>481</v>
      </c>
      <c r="C16" s="262">
        <f t="shared" ref="C16:G16" si="9">SUBTOTAL(9,C17:C18)</f>
        <v>3129.5999999999985</v>
      </c>
      <c r="D16" s="262">
        <f t="shared" si="9"/>
        <v>3105.1999999999971</v>
      </c>
      <c r="E16" s="262">
        <f t="shared" si="9"/>
        <v>3080.8000000000029</v>
      </c>
      <c r="F16" s="262">
        <f t="shared" si="9"/>
        <v>3056.4000000000015</v>
      </c>
      <c r="G16" s="262">
        <f t="shared" si="9"/>
        <v>3032</v>
      </c>
      <c r="H16" s="262">
        <f>SUBTOTAL(9,H17:H18)</f>
        <v>3294</v>
      </c>
      <c r="I16" s="262">
        <f t="shared" ref="I16" si="10">SUBTOTAL(9,I17:I18)</f>
        <v>2784</v>
      </c>
      <c r="J16" s="262">
        <f t="shared" ref="J16" si="11">SUBTOTAL(9,J17:J18)</f>
        <v>2818</v>
      </c>
      <c r="K16" s="262">
        <f t="shared" ref="K16" si="12">SUBTOTAL(9,K17:K18)</f>
        <v>2988</v>
      </c>
    </row>
    <row r="17" spans="1:19" x14ac:dyDescent="0.25">
      <c r="A17" s="119">
        <f t="shared" ca="1" si="2"/>
        <v>5</v>
      </c>
      <c r="B17" s="145" t="s">
        <v>479</v>
      </c>
      <c r="C17" s="100">
        <f t="shared" ref="C17:F17" si="13">$L17</f>
        <v>1878</v>
      </c>
      <c r="D17" s="100">
        <f t="shared" si="13"/>
        <v>1878</v>
      </c>
      <c r="E17" s="100">
        <f t="shared" si="13"/>
        <v>1878</v>
      </c>
      <c r="F17" s="100">
        <f t="shared" si="13"/>
        <v>1878</v>
      </c>
      <c r="G17" s="100">
        <f>$L17</f>
        <v>1878</v>
      </c>
      <c r="H17" s="262">
        <v>2078</v>
      </c>
      <c r="I17" s="262">
        <v>1779</v>
      </c>
      <c r="J17" s="264">
        <v>1796</v>
      </c>
      <c r="K17" s="264">
        <v>1859</v>
      </c>
      <c r="L17" s="264">
        <f>AVERAGE($H17:$K17)</f>
        <v>1878</v>
      </c>
      <c r="M17" s="264"/>
      <c r="N17" s="267" t="s">
        <v>1011</v>
      </c>
      <c r="P17" s="437">
        <f>G17-H17</f>
        <v>-200</v>
      </c>
    </row>
    <row r="18" spans="1:19" x14ac:dyDescent="0.25">
      <c r="A18" s="119">
        <f t="shared" ca="1" si="2"/>
        <v>5</v>
      </c>
      <c r="B18" s="145" t="s">
        <v>480</v>
      </c>
      <c r="C18" s="100">
        <f t="shared" ref="C18:F18" si="14">$L18*C$1+$M18</f>
        <v>1251.5999999999985</v>
      </c>
      <c r="D18" s="100">
        <f t="shared" si="14"/>
        <v>1227.1999999999971</v>
      </c>
      <c r="E18" s="100">
        <f t="shared" si="14"/>
        <v>1202.8000000000029</v>
      </c>
      <c r="F18" s="100">
        <f t="shared" si="14"/>
        <v>1178.4000000000015</v>
      </c>
      <c r="G18" s="100">
        <f>$L18*G$1+$M18</f>
        <v>1154</v>
      </c>
      <c r="H18" s="262">
        <v>1216</v>
      </c>
      <c r="I18" s="262">
        <v>1005</v>
      </c>
      <c r="J18" s="264">
        <v>1022</v>
      </c>
      <c r="K18" s="264">
        <v>1129</v>
      </c>
      <c r="L18" s="119">
        <f>SLOPE($H18:$K18, $H$1:$K$1)</f>
        <v>24.4</v>
      </c>
      <c r="M18" s="119">
        <f>INTERCEPT(H18:K18,$H$1:$K$1)</f>
        <v>-48085.2</v>
      </c>
      <c r="N18" s="267" t="s">
        <v>1020</v>
      </c>
    </row>
    <row r="19" spans="1:19" x14ac:dyDescent="0.25">
      <c r="A19" s="119">
        <f t="shared" ca="1" si="2"/>
        <v>3</v>
      </c>
      <c r="B19" s="132" t="s">
        <v>482</v>
      </c>
      <c r="C19" s="262">
        <f t="shared" ref="C19:G19" si="15">AVERAGE($H19:$K19)</f>
        <v>-117.5</v>
      </c>
      <c r="D19" s="262">
        <f t="shared" si="15"/>
        <v>-117.5</v>
      </c>
      <c r="E19" s="262">
        <f t="shared" si="15"/>
        <v>-117.5</v>
      </c>
      <c r="F19" s="262">
        <f t="shared" si="15"/>
        <v>-117.5</v>
      </c>
      <c r="G19" s="262">
        <f t="shared" si="15"/>
        <v>-117.5</v>
      </c>
      <c r="H19" s="262">
        <v>-128</v>
      </c>
      <c r="I19" s="262">
        <v>-109</v>
      </c>
      <c r="J19" s="264">
        <v>-111</v>
      </c>
      <c r="K19" s="264">
        <v>-122</v>
      </c>
      <c r="L19" s="264">
        <f>AVERAGE(H19:K19)</f>
        <v>-117.5</v>
      </c>
      <c r="M19" s="264"/>
      <c r="N19" s="267" t="s">
        <v>1011</v>
      </c>
    </row>
    <row r="20" spans="1:19" x14ac:dyDescent="0.25">
      <c r="A20" s="119">
        <f t="shared" ca="1" si="2"/>
        <v>2</v>
      </c>
      <c r="B20" s="131" t="s">
        <v>5</v>
      </c>
      <c r="C20" s="100">
        <f t="shared" ref="C20:F20" si="16">D20+$L20</f>
        <v>477.24999999999989</v>
      </c>
      <c r="D20" s="100">
        <f t="shared" si="16"/>
        <v>497.19999999999987</v>
      </c>
      <c r="E20" s="100">
        <f t="shared" si="16"/>
        <v>517.14999999999986</v>
      </c>
      <c r="F20" s="100">
        <f t="shared" si="16"/>
        <v>537.09999999999991</v>
      </c>
      <c r="G20" s="100">
        <f>H20+$L20</f>
        <v>557.04999999999995</v>
      </c>
      <c r="H20" s="262">
        <v>577</v>
      </c>
      <c r="I20" s="262">
        <v>627</v>
      </c>
      <c r="J20" s="263">
        <v>609</v>
      </c>
      <c r="K20" s="100">
        <v>849</v>
      </c>
      <c r="L20" s="119">
        <f>SLOPE(H20:K20, H1:K1)*0.25</f>
        <v>-19.95</v>
      </c>
      <c r="M20" s="119">
        <f>INTERCEPT(H20:K20,$H$1:$K$1)</f>
        <v>161502.39999999999</v>
      </c>
      <c r="N20" s="267" t="s">
        <v>1021</v>
      </c>
      <c r="P20" s="4" t="s">
        <v>802</v>
      </c>
      <c r="Q20" s="4">
        <f>'N2 Income Tax'!G71</f>
        <v>152</v>
      </c>
    </row>
    <row r="21" spans="1:19" x14ac:dyDescent="0.25">
      <c r="B21" s="136"/>
      <c r="C21" s="94"/>
      <c r="D21" s="94"/>
      <c r="E21" s="94"/>
      <c r="F21" s="94"/>
      <c r="G21" s="94"/>
      <c r="H21" s="194"/>
      <c r="I21" s="194"/>
      <c r="J21" s="194"/>
      <c r="K21" s="102" t="s">
        <v>282</v>
      </c>
    </row>
    <row r="22" spans="1:19" x14ac:dyDescent="0.25">
      <c r="A22" s="119">
        <f t="shared" ca="1" si="2"/>
        <v>1</v>
      </c>
      <c r="B22" s="130" t="s">
        <v>419</v>
      </c>
      <c r="C22" s="195">
        <f t="shared" ref="C22:G22" si="17">SUBTOTAL(9,C23:C52)</f>
        <v>10042.797670163205</v>
      </c>
      <c r="D22" s="195">
        <f t="shared" si="17"/>
        <v>9666.8233948800098</v>
      </c>
      <c r="E22" s="195">
        <f t="shared" si="17"/>
        <v>9309.6985919999897</v>
      </c>
      <c r="F22" s="195">
        <f t="shared" si="17"/>
        <v>8349.8627999999953</v>
      </c>
      <c r="G22" s="195">
        <f t="shared" si="17"/>
        <v>8029.07</v>
      </c>
      <c r="H22" s="192">
        <f>SUBTOTAL(9,H23:H52)</f>
        <v>8181</v>
      </c>
      <c r="I22" s="192">
        <f>SUBTOTAL(9,I23:I52)</f>
        <v>6289</v>
      </c>
      <c r="J22" s="192">
        <f>SUBTOTAL(9,J23:J52)</f>
        <v>6265</v>
      </c>
      <c r="K22" s="192">
        <f>SUBTOTAL(9,K23:K52)</f>
        <v>6126</v>
      </c>
      <c r="L22" s="102"/>
      <c r="M22" s="102"/>
      <c r="N22" s="125"/>
    </row>
    <row r="23" spans="1:19" x14ac:dyDescent="0.25">
      <c r="A23" s="119">
        <f t="shared" ca="1" si="2"/>
        <v>2</v>
      </c>
      <c r="B23" s="131" t="s">
        <v>508</v>
      </c>
      <c r="C23" s="195">
        <f t="shared" ref="C23:G23" si="18">SUBTOTAL(9,C24:C28)</f>
        <v>4527.25</v>
      </c>
      <c r="D23" s="195">
        <f t="shared" si="18"/>
        <v>4413.75</v>
      </c>
      <c r="E23" s="195">
        <f t="shared" si="18"/>
        <v>4300.25</v>
      </c>
      <c r="F23" s="195">
        <f t="shared" si="18"/>
        <v>4186.75</v>
      </c>
      <c r="G23" s="195">
        <f t="shared" si="18"/>
        <v>4073.25</v>
      </c>
      <c r="H23" s="194">
        <f>SUBTOTAL(9,H24:H28)</f>
        <v>3927</v>
      </c>
      <c r="I23" s="194">
        <f>SUBTOTAL(9,I24:I28)</f>
        <v>3800</v>
      </c>
      <c r="J23" s="194">
        <f>SUBTOTAL(9,J24:J28)</f>
        <v>3745</v>
      </c>
      <c r="K23" s="194">
        <f>SUBTOTAL(9,K24:K28)</f>
        <v>3686</v>
      </c>
      <c r="L23" s="102"/>
      <c r="M23" s="102"/>
      <c r="N23" s="125"/>
    </row>
    <row r="24" spans="1:19" x14ac:dyDescent="0.25">
      <c r="A24" s="119">
        <f t="shared" ca="1" si="2"/>
        <v>3</v>
      </c>
      <c r="B24" s="132" t="s">
        <v>486</v>
      </c>
      <c r="C24" s="195">
        <f t="shared" ref="C24:G24" si="19">SUBTOTAL(9,C25:C27)</f>
        <v>9793.25</v>
      </c>
      <c r="D24" s="195">
        <f t="shared" si="19"/>
        <v>9445.75</v>
      </c>
      <c r="E24" s="195">
        <f t="shared" si="19"/>
        <v>9098.25</v>
      </c>
      <c r="F24" s="195">
        <f t="shared" si="19"/>
        <v>8750.75</v>
      </c>
      <c r="G24" s="195">
        <f t="shared" si="19"/>
        <v>8403.25</v>
      </c>
      <c r="H24" s="185">
        <f>SUBTOTAL(9,H25:H27)</f>
        <v>8058</v>
      </c>
      <c r="I24" s="185">
        <f>SUBTOTAL(9,I25:I27)</f>
        <v>7635</v>
      </c>
      <c r="J24" s="185">
        <f t="shared" ref="J24:K24" si="20">SUBTOTAL(9,J25:J27)</f>
        <v>7322</v>
      </c>
      <c r="K24" s="185">
        <f t="shared" si="20"/>
        <v>7123</v>
      </c>
    </row>
    <row r="25" spans="1:19" x14ac:dyDescent="0.25">
      <c r="A25" s="119">
        <f t="shared" ca="1" si="2"/>
        <v>5</v>
      </c>
      <c r="B25" s="145" t="s">
        <v>483</v>
      </c>
      <c r="C25" s="100">
        <f t="shared" ref="C25:F26" si="21">$L25*C$1+$M25</f>
        <v>3109.2999999999884</v>
      </c>
      <c r="D25" s="100">
        <f t="shared" si="21"/>
        <v>2946.5999999999767</v>
      </c>
      <c r="E25" s="100">
        <f t="shared" si="21"/>
        <v>2783.9000000000233</v>
      </c>
      <c r="F25" s="100">
        <f t="shared" si="21"/>
        <v>2621.2000000000116</v>
      </c>
      <c r="G25" s="100">
        <f>$L25*G$1+$M25</f>
        <v>2458.5</v>
      </c>
      <c r="H25" s="190">
        <v>2332</v>
      </c>
      <c r="I25" s="190">
        <v>2075</v>
      </c>
      <c r="J25" s="191">
        <v>1978</v>
      </c>
      <c r="K25" s="102">
        <v>1822</v>
      </c>
      <c r="L25" s="119">
        <f>SLOPE($H25:$K25, $H$1:$K$1)</f>
        <v>162.69999999999999</v>
      </c>
      <c r="M25" s="119">
        <f t="shared" ref="M25:M26" si="22">INTERCEPT(H25:K25,$H$1:$K$1)</f>
        <v>-325870.09999999998</v>
      </c>
      <c r="N25" s="267" t="s">
        <v>1020</v>
      </c>
    </row>
    <row r="26" spans="1:19" x14ac:dyDescent="0.25">
      <c r="A26" s="119">
        <f t="shared" ca="1" si="2"/>
        <v>5</v>
      </c>
      <c r="B26" s="145" t="s">
        <v>484</v>
      </c>
      <c r="C26" s="100">
        <f t="shared" si="21"/>
        <v>6112.2000000000116</v>
      </c>
      <c r="D26" s="100">
        <f t="shared" si="21"/>
        <v>5927.4000000000233</v>
      </c>
      <c r="E26" s="100">
        <f t="shared" si="21"/>
        <v>5742.5999999999767</v>
      </c>
      <c r="F26" s="100">
        <f t="shared" si="21"/>
        <v>5557.7999999999884</v>
      </c>
      <c r="G26" s="100">
        <f>$L26*G$1+$M26</f>
        <v>5373</v>
      </c>
      <c r="H26" s="185">
        <v>5285</v>
      </c>
      <c r="I26" s="185">
        <v>4898</v>
      </c>
      <c r="J26" s="191">
        <v>4739</v>
      </c>
      <c r="K26" s="102">
        <v>4722</v>
      </c>
      <c r="L26" s="119">
        <f>SLOPE($H26:$K26, $H$1:$K$1)</f>
        <v>184.8</v>
      </c>
      <c r="M26" s="119">
        <f t="shared" si="22"/>
        <v>-367553.4</v>
      </c>
      <c r="N26" s="267" t="s">
        <v>1020</v>
      </c>
      <c r="S26" s="183"/>
    </row>
    <row r="27" spans="1:19" x14ac:dyDescent="0.25">
      <c r="A27" s="119">
        <f t="shared" ca="1" si="2"/>
        <v>5</v>
      </c>
      <c r="B27" s="145" t="s">
        <v>485</v>
      </c>
      <c r="C27" s="195">
        <f t="shared" ref="C27:F27" si="23">$L27</f>
        <v>571.75</v>
      </c>
      <c r="D27" s="195">
        <f t="shared" si="23"/>
        <v>571.75</v>
      </c>
      <c r="E27" s="195">
        <f t="shared" si="23"/>
        <v>571.75</v>
      </c>
      <c r="F27" s="195">
        <f t="shared" si="23"/>
        <v>571.75</v>
      </c>
      <c r="G27" s="195">
        <f>$L27</f>
        <v>571.75</v>
      </c>
      <c r="H27" s="185">
        <v>441</v>
      </c>
      <c r="I27" s="185">
        <v>662</v>
      </c>
      <c r="J27" s="191">
        <v>605</v>
      </c>
      <c r="K27" s="102">
        <v>579</v>
      </c>
      <c r="L27" s="266">
        <f>AVERAGE($H27:$K27)</f>
        <v>571.75</v>
      </c>
      <c r="M27" s="266"/>
      <c r="N27" s="267" t="s">
        <v>1016</v>
      </c>
      <c r="S27" s="144"/>
    </row>
    <row r="28" spans="1:19" x14ac:dyDescent="0.25">
      <c r="A28" s="119">
        <f t="shared" ca="1" si="2"/>
        <v>3</v>
      </c>
      <c r="B28" s="132" t="s">
        <v>487</v>
      </c>
      <c r="C28" s="100">
        <f t="shared" ref="C28:F28" si="24">$L28*C$1+$M28</f>
        <v>-5266</v>
      </c>
      <c r="D28" s="100">
        <f t="shared" si="24"/>
        <v>-5032</v>
      </c>
      <c r="E28" s="100">
        <f t="shared" si="24"/>
        <v>-4798</v>
      </c>
      <c r="F28" s="100">
        <f t="shared" si="24"/>
        <v>-4564</v>
      </c>
      <c r="G28" s="100">
        <f>$L28*G$1+$M28</f>
        <v>-4330</v>
      </c>
      <c r="H28" s="195">
        <v>-4131</v>
      </c>
      <c r="I28" s="195">
        <v>-3835</v>
      </c>
      <c r="J28" s="191">
        <v>-3577</v>
      </c>
      <c r="K28" s="102">
        <v>-3437</v>
      </c>
      <c r="L28" s="119">
        <f>SLOPE($H28:$K28, $H$1:$K$1)</f>
        <v>-234</v>
      </c>
      <c r="M28" s="119">
        <f>INTERCEPT(H28:K28,$H$1:$K$1)</f>
        <v>467882</v>
      </c>
      <c r="N28" s="267" t="s">
        <v>1020</v>
      </c>
      <c r="O28" s="202">
        <f>H28-I28</f>
        <v>-296</v>
      </c>
      <c r="S28" s="144"/>
    </row>
    <row r="29" spans="1:19" x14ac:dyDescent="0.25">
      <c r="A29" s="119">
        <f t="shared" ca="1" si="2"/>
        <v>2</v>
      </c>
      <c r="B29" s="131" t="s">
        <v>637</v>
      </c>
      <c r="C29" s="195">
        <f t="shared" ref="C29:G29" si="25">SUBTOTAL(9,C30:C36)</f>
        <v>1336.9</v>
      </c>
      <c r="D29" s="195">
        <f t="shared" si="25"/>
        <v>1287.2999999999995</v>
      </c>
      <c r="E29" s="195">
        <f t="shared" si="25"/>
        <v>1237.7000000000005</v>
      </c>
      <c r="F29" s="195">
        <f t="shared" si="25"/>
        <v>1188.0999999999999</v>
      </c>
      <c r="G29" s="195">
        <f t="shared" si="25"/>
        <v>1138.5</v>
      </c>
      <c r="H29" s="185">
        <f>SUBTOTAL(9,H30:H36)</f>
        <v>1156</v>
      </c>
      <c r="I29" s="185">
        <f>SUBTOTAL(9,I30:I36)</f>
        <v>946</v>
      </c>
      <c r="J29" s="185">
        <f t="shared" ref="J29:K29" si="26">SUBTOTAL(9,J30:J36)</f>
        <v>975</v>
      </c>
      <c r="K29" s="185">
        <f t="shared" si="26"/>
        <v>981</v>
      </c>
      <c r="O29" s="202">
        <f>H48-I48</f>
        <v>-56</v>
      </c>
      <c r="S29" s="144"/>
    </row>
    <row r="30" spans="1:19" x14ac:dyDescent="0.25">
      <c r="A30" s="119">
        <f t="shared" ca="1" si="2"/>
        <v>3</v>
      </c>
      <c r="B30" s="143" t="s">
        <v>650</v>
      </c>
      <c r="C30" s="119">
        <f>'N3 Equity Investments'!B6</f>
        <v>369.59999999999854</v>
      </c>
      <c r="D30" s="119">
        <f>'N3 Equity Investments'!C6</f>
        <v>338.69999999999709</v>
      </c>
      <c r="E30" s="119">
        <f>'N3 Equity Investments'!D6</f>
        <v>307.80000000000291</v>
      </c>
      <c r="F30" s="119">
        <f>'N3 Equity Investments'!E6</f>
        <v>276.90000000000146</v>
      </c>
      <c r="G30" s="119">
        <f>'N3 Equity Investments'!F6</f>
        <v>246</v>
      </c>
      <c r="H30" s="119">
        <f>'N3 Equity Investments'!G6</f>
        <v>223</v>
      </c>
      <c r="I30" s="119">
        <f>'N3 Equity Investments'!H6</f>
        <v>163</v>
      </c>
      <c r="J30" s="119">
        <f>'N3 Equity Investments'!I6</f>
        <v>172</v>
      </c>
      <c r="K30" s="119">
        <f>'N3 Equity Investments'!J6</f>
        <v>117</v>
      </c>
      <c r="N30" t="s">
        <v>1020</v>
      </c>
      <c r="O30" s="202">
        <f>H51-I51</f>
        <v>-26</v>
      </c>
      <c r="S30" s="183"/>
    </row>
    <row r="31" spans="1:19" x14ac:dyDescent="0.25">
      <c r="A31" s="119">
        <f t="shared" ca="1" si="2"/>
        <v>3</v>
      </c>
      <c r="B31" s="143" t="s">
        <v>651</v>
      </c>
      <c r="C31" s="119">
        <f>'N3 Equity Investments'!B7</f>
        <v>317.90000000000146</v>
      </c>
      <c r="D31" s="119">
        <f>'N3 Equity Investments'!C7</f>
        <v>297.80000000000291</v>
      </c>
      <c r="E31" s="119">
        <f>'N3 Equity Investments'!D7</f>
        <v>277.69999999999709</v>
      </c>
      <c r="F31" s="119">
        <f>'N3 Equity Investments'!E7</f>
        <v>257.59999999999854</v>
      </c>
      <c r="G31" s="119">
        <f>'N3 Equity Investments'!F7</f>
        <v>237.5</v>
      </c>
      <c r="H31" s="119">
        <f>'N3 Equity Investments'!G7</f>
        <v>219</v>
      </c>
      <c r="I31" s="119">
        <f>'N3 Equity Investments'!H7</f>
        <v>197</v>
      </c>
      <c r="J31" s="119">
        <f>'N3 Equity Investments'!I7</f>
        <v>173</v>
      </c>
      <c r="K31" s="119">
        <f>'N3 Equity Investments'!J7</f>
        <v>160</v>
      </c>
      <c r="N31" t="s">
        <v>1020</v>
      </c>
      <c r="S31" s="183"/>
    </row>
    <row r="32" spans="1:19" x14ac:dyDescent="0.25">
      <c r="A32" s="119">
        <f t="shared" ca="1" si="2"/>
        <v>3</v>
      </c>
      <c r="B32" s="143" t="s">
        <v>652</v>
      </c>
      <c r="C32" s="119">
        <f>'N3 Equity Investments'!B8</f>
        <v>142.69999999999982</v>
      </c>
      <c r="D32" s="119">
        <f>'N3 Equity Investments'!C8</f>
        <v>140.39999999999964</v>
      </c>
      <c r="E32" s="119">
        <f>'N3 Equity Investments'!D8</f>
        <v>138.10000000000036</v>
      </c>
      <c r="F32" s="119">
        <f>'N3 Equity Investments'!E8</f>
        <v>135.80000000000018</v>
      </c>
      <c r="G32" s="119">
        <f>'N3 Equity Investments'!F8</f>
        <v>133.5</v>
      </c>
      <c r="H32" s="119">
        <f>'N3 Equity Investments'!G8</f>
        <v>146</v>
      </c>
      <c r="I32" s="119">
        <f>'N3 Equity Investments'!H8</f>
        <v>111</v>
      </c>
      <c r="J32" s="119">
        <f>'N3 Equity Investments'!I8</f>
        <v>118</v>
      </c>
      <c r="K32" s="119">
        <f>'N3 Equity Investments'!J8</f>
        <v>136</v>
      </c>
      <c r="N32" t="s">
        <v>1020</v>
      </c>
      <c r="S32" s="183"/>
    </row>
    <row r="33" spans="1:21" x14ac:dyDescent="0.25">
      <c r="A33" s="119">
        <f t="shared" ca="1" si="2"/>
        <v>3</v>
      </c>
      <c r="B33" s="143" t="s">
        <v>653</v>
      </c>
      <c r="C33" s="119">
        <f>'N3 Equity Investments'!B9</f>
        <v>94.300000000000182</v>
      </c>
      <c r="D33" s="119">
        <f>'N3 Equity Investments'!C9</f>
        <v>92.100000000000364</v>
      </c>
      <c r="E33" s="119">
        <f>'N3 Equity Investments'!D9</f>
        <v>89.899999999999636</v>
      </c>
      <c r="F33" s="119">
        <f>'N3 Equity Investments'!E9</f>
        <v>87.699999999999818</v>
      </c>
      <c r="G33" s="119">
        <f>'N3 Equity Investments'!F9</f>
        <v>85.5</v>
      </c>
      <c r="H33" s="119">
        <f>'N3 Equity Investments'!G9</f>
        <v>87</v>
      </c>
      <c r="I33" s="119">
        <f>'N3 Equity Investments'!H9</f>
        <v>82</v>
      </c>
      <c r="J33" s="119">
        <f>'N3 Equity Investments'!I9</f>
        <v>66</v>
      </c>
      <c r="K33" s="119">
        <f>'N3 Equity Investments'!J9</f>
        <v>85</v>
      </c>
      <c r="N33" t="s">
        <v>1020</v>
      </c>
      <c r="S33" s="183"/>
      <c r="U33" s="94"/>
    </row>
    <row r="34" spans="1:21" x14ac:dyDescent="0.25">
      <c r="A34" s="119">
        <f t="shared" ca="1" si="2"/>
        <v>3</v>
      </c>
      <c r="B34" s="143" t="s">
        <v>654</v>
      </c>
      <c r="C34" s="119">
        <f>'N3 Equity Investments'!B10</f>
        <v>62.100000000000364</v>
      </c>
      <c r="D34" s="119">
        <f>'N3 Equity Investments'!C10</f>
        <v>65.199999999999818</v>
      </c>
      <c r="E34" s="119">
        <f>'N3 Equity Investments'!D10</f>
        <v>68.300000000000182</v>
      </c>
      <c r="F34" s="119">
        <f>'N3 Equity Investments'!E10</f>
        <v>71.399999999999636</v>
      </c>
      <c r="G34" s="119">
        <f>'N3 Equity Investments'!F10</f>
        <v>74.5</v>
      </c>
      <c r="H34" s="119">
        <f>'N3 Equity Investments'!G10</f>
        <v>84</v>
      </c>
      <c r="I34" s="119">
        <f>'N3 Equity Investments'!H10</f>
        <v>73</v>
      </c>
      <c r="J34" s="119">
        <f>'N3 Equity Investments'!I10</f>
        <v>80</v>
      </c>
      <c r="K34" s="119">
        <f>'N3 Equity Investments'!J10</f>
        <v>92</v>
      </c>
      <c r="N34" t="s">
        <v>1020</v>
      </c>
      <c r="S34" s="183"/>
      <c r="U34" s="90"/>
    </row>
    <row r="35" spans="1:21" x14ac:dyDescent="0.25">
      <c r="A35" s="119">
        <f t="shared" ca="1" si="2"/>
        <v>3</v>
      </c>
      <c r="B35" s="143" t="s">
        <v>655</v>
      </c>
      <c r="C35" s="119">
        <f>'N3 Equity Investments'!B11</f>
        <v>65.599999999999909</v>
      </c>
      <c r="D35" s="119">
        <f>'N3 Equity Investments'!C11</f>
        <v>64.700000000000045</v>
      </c>
      <c r="E35" s="119">
        <f>'N3 Equity Investments'!D11</f>
        <v>63.799999999999955</v>
      </c>
      <c r="F35" s="119">
        <f>'N3 Equity Investments'!E11</f>
        <v>62.900000000000091</v>
      </c>
      <c r="G35" s="119">
        <f>'N3 Equity Investments'!F11</f>
        <v>62</v>
      </c>
      <c r="H35" s="119">
        <f>'N3 Equity Investments'!G11</f>
        <v>59</v>
      </c>
      <c r="I35" s="119">
        <f>'N3 Equity Investments'!H11</f>
        <v>63</v>
      </c>
      <c r="J35" s="119">
        <f>'N3 Equity Investments'!I11</f>
        <v>60</v>
      </c>
      <c r="K35" s="119">
        <f>'N3 Equity Investments'!J11</f>
        <v>57</v>
      </c>
      <c r="N35" t="s">
        <v>1020</v>
      </c>
      <c r="S35" s="183"/>
    </row>
    <row r="36" spans="1:21" x14ac:dyDescent="0.25">
      <c r="A36" s="119">
        <f t="shared" ca="1" si="2"/>
        <v>3</v>
      </c>
      <c r="B36" s="143" t="s">
        <v>568</v>
      </c>
      <c r="C36" s="119">
        <f>'N3 Equity Investments'!B12</f>
        <v>284.69999999999982</v>
      </c>
      <c r="D36" s="119">
        <f>'N3 Equity Investments'!C12</f>
        <v>288.39999999999964</v>
      </c>
      <c r="E36" s="119">
        <f>'N3 Equity Investments'!D12</f>
        <v>292.10000000000036</v>
      </c>
      <c r="F36" s="119">
        <f>'N3 Equity Investments'!E12</f>
        <v>295.80000000000018</v>
      </c>
      <c r="G36" s="119">
        <f>'N3 Equity Investments'!F12</f>
        <v>299.5</v>
      </c>
      <c r="H36" s="119">
        <f>'N3 Equity Investments'!G12</f>
        <v>338</v>
      </c>
      <c r="I36" s="119">
        <f>'N3 Equity Investments'!H12</f>
        <v>257</v>
      </c>
      <c r="J36" s="119">
        <f>'N3 Equity Investments'!I12</f>
        <v>306</v>
      </c>
      <c r="K36" s="119">
        <f>'N3 Equity Investments'!J12</f>
        <v>334</v>
      </c>
      <c r="N36" t="s">
        <v>1020</v>
      </c>
    </row>
    <row r="37" spans="1:21" x14ac:dyDescent="0.25">
      <c r="A37" s="119">
        <f t="shared" ca="1" si="2"/>
        <v>2</v>
      </c>
      <c r="B37" s="131" t="s">
        <v>641</v>
      </c>
      <c r="C37" s="119">
        <f t="shared" ref="C37:G37" si="27">SUBTOTAL(9,C38:C44)</f>
        <v>679.5999999999998</v>
      </c>
      <c r="D37" s="119">
        <f t="shared" si="27"/>
        <v>677.90000000000009</v>
      </c>
      <c r="E37" s="119">
        <f t="shared" si="27"/>
        <v>676.19999999999993</v>
      </c>
      <c r="F37" s="119">
        <f t="shared" si="27"/>
        <v>674.50000000000023</v>
      </c>
      <c r="G37" s="119">
        <f t="shared" si="27"/>
        <v>672.8</v>
      </c>
      <c r="H37" s="119">
        <f>SUBTOTAL(9,H38:H44)</f>
        <v>1082</v>
      </c>
      <c r="I37" s="119">
        <f>SUBTOTAL(9,I38:I44)</f>
        <v>480</v>
      </c>
      <c r="J37" s="119">
        <f>SUBTOTAL(9,J38:J44)</f>
        <v>482</v>
      </c>
      <c r="K37" s="119">
        <f>SUBTOTAL(9,K38:K44)</f>
        <v>479</v>
      </c>
    </row>
    <row r="38" spans="1:21" x14ac:dyDescent="0.25">
      <c r="A38" s="119">
        <f t="shared" ca="1" si="2"/>
        <v>3</v>
      </c>
      <c r="B38" s="142" t="s">
        <v>218</v>
      </c>
      <c r="C38" s="101">
        <f t="shared" ref="C38:G38" si="28">SUBTOTAL(9,C39:C40)</f>
        <v>518.19999999999982</v>
      </c>
      <c r="D38" s="101">
        <f t="shared" si="28"/>
        <v>519.90000000000009</v>
      </c>
      <c r="E38" s="101">
        <f t="shared" si="28"/>
        <v>521.59999999999991</v>
      </c>
      <c r="F38" s="101">
        <f t="shared" si="28"/>
        <v>523.30000000000018</v>
      </c>
      <c r="G38" s="101">
        <f t="shared" si="28"/>
        <v>525</v>
      </c>
      <c r="H38" s="101">
        <f>SUBTOTAL(9,H39:H40)</f>
        <v>940</v>
      </c>
      <c r="I38" s="101">
        <f t="shared" ref="I38:K38" si="29">SUBTOTAL(9,I39:I40)</f>
        <v>386</v>
      </c>
      <c r="J38" s="101">
        <f t="shared" si="29"/>
        <v>391</v>
      </c>
      <c r="K38" s="101">
        <f t="shared" si="29"/>
        <v>400</v>
      </c>
      <c r="O38" s="203"/>
    </row>
    <row r="39" spans="1:21" x14ac:dyDescent="0.25">
      <c r="A39" s="119">
        <f t="shared" ca="1" si="2"/>
        <v>4</v>
      </c>
      <c r="B39" s="124" t="s">
        <v>932</v>
      </c>
      <c r="C39" s="100">
        <f t="shared" ref="C39:F39" si="30">$L39*C$1+$M39</f>
        <v>382.19999999999982</v>
      </c>
      <c r="D39" s="100">
        <f t="shared" si="30"/>
        <v>383.90000000000009</v>
      </c>
      <c r="E39" s="100">
        <f t="shared" si="30"/>
        <v>385.59999999999991</v>
      </c>
      <c r="F39" s="100">
        <f t="shared" si="30"/>
        <v>387.30000000000018</v>
      </c>
      <c r="G39" s="100">
        <f>$L39*G$1+$M39</f>
        <v>389</v>
      </c>
      <c r="H39" s="101">
        <v>396</v>
      </c>
      <c r="I39" s="103">
        <v>386</v>
      </c>
      <c r="J39" s="101">
        <v>391</v>
      </c>
      <c r="K39" s="188">
        <v>400</v>
      </c>
      <c r="L39" s="119">
        <f>SLOPE(H39:K39, $H$1:$K$1)</f>
        <v>-1.7</v>
      </c>
      <c r="M39" s="119">
        <f>INTERCEPT(H39:K39,$H$1:$K$1)</f>
        <v>3819.6</v>
      </c>
      <c r="N39" s="267" t="s">
        <v>1033</v>
      </c>
      <c r="O39" s="203"/>
    </row>
    <row r="40" spans="1:21" x14ac:dyDescent="0.25">
      <c r="A40" s="119">
        <f t="shared" ca="1" si="2"/>
        <v>4</v>
      </c>
      <c r="B40" s="124" t="s">
        <v>490</v>
      </c>
      <c r="C40" s="195">
        <f>$L40</f>
        <v>136</v>
      </c>
      <c r="D40" s="195">
        <f t="shared" ref="D40:G40" si="31">$L40</f>
        <v>136</v>
      </c>
      <c r="E40" s="195">
        <f t="shared" si="31"/>
        <v>136</v>
      </c>
      <c r="F40" s="195">
        <f t="shared" si="31"/>
        <v>136</v>
      </c>
      <c r="G40" s="195">
        <f t="shared" si="31"/>
        <v>136</v>
      </c>
      <c r="H40" s="101">
        <f>'N18 Acquisitions'!C60</f>
        <v>544</v>
      </c>
      <c r="I40" s="103">
        <v>0</v>
      </c>
      <c r="J40" s="101">
        <v>0</v>
      </c>
      <c r="K40" s="188">
        <v>0</v>
      </c>
      <c r="L40" s="266">
        <f>AVERAGE($H40:$K40)</f>
        <v>136</v>
      </c>
      <c r="N40" s="267" t="s">
        <v>1031</v>
      </c>
      <c r="O40" s="203"/>
    </row>
    <row r="41" spans="1:21" x14ac:dyDescent="0.25">
      <c r="A41" s="119">
        <f t="shared" ca="1" si="2"/>
        <v>3</v>
      </c>
      <c r="B41" s="142" t="s">
        <v>263</v>
      </c>
      <c r="C41" s="100">
        <f t="shared" ref="C41:F43" si="32">$L41*C$1+$M41</f>
        <v>109.5</v>
      </c>
      <c r="D41" s="100">
        <f t="shared" si="32"/>
        <v>104</v>
      </c>
      <c r="E41" s="100">
        <f t="shared" si="32"/>
        <v>98.5</v>
      </c>
      <c r="F41" s="100">
        <f t="shared" si="32"/>
        <v>93</v>
      </c>
      <c r="G41" s="100">
        <f>$L41*G$1+$M41</f>
        <v>87.5</v>
      </c>
      <c r="H41" s="101">
        <v>79</v>
      </c>
      <c r="I41" s="103">
        <v>79</v>
      </c>
      <c r="J41" s="101">
        <v>75</v>
      </c>
      <c r="K41" s="188">
        <v>62</v>
      </c>
      <c r="L41" s="119">
        <f t="shared" ref="L41:L43" si="33">SLOPE(H41:K41, $H$1:$K$1)</f>
        <v>5.5</v>
      </c>
      <c r="M41" s="119">
        <f t="shared" ref="M41:M43" si="34">INTERCEPT(H41:K41,$H$1:$K$1)</f>
        <v>-11011.5</v>
      </c>
      <c r="N41" s="267" t="s">
        <v>1020</v>
      </c>
      <c r="U41" s="6"/>
    </row>
    <row r="42" spans="1:21" x14ac:dyDescent="0.25">
      <c r="A42" s="119">
        <f t="shared" ca="1" si="2"/>
        <v>3</v>
      </c>
      <c r="B42" s="142" t="s">
        <v>250</v>
      </c>
      <c r="C42" s="100">
        <f t="shared" si="32"/>
        <v>7.3999999999999773</v>
      </c>
      <c r="D42" s="100">
        <f t="shared" si="32"/>
        <v>7.7999999999999545</v>
      </c>
      <c r="E42" s="100">
        <f t="shared" si="32"/>
        <v>8.2000000000000455</v>
      </c>
      <c r="F42" s="100">
        <f t="shared" si="32"/>
        <v>8.6000000000000227</v>
      </c>
      <c r="G42" s="100">
        <f>$L42*G$1+$M42</f>
        <v>9</v>
      </c>
      <c r="H42" s="101">
        <v>10</v>
      </c>
      <c r="I42" s="103">
        <v>9</v>
      </c>
      <c r="J42" s="101">
        <v>10</v>
      </c>
      <c r="K42" s="188">
        <v>11</v>
      </c>
      <c r="L42" s="119">
        <f t="shared" si="33"/>
        <v>-0.4</v>
      </c>
      <c r="M42" s="119">
        <f t="shared" si="34"/>
        <v>816.2</v>
      </c>
      <c r="N42" s="267" t="s">
        <v>1020</v>
      </c>
    </row>
    <row r="43" spans="1:21" x14ac:dyDescent="0.25">
      <c r="A43" s="119">
        <f t="shared" ca="1" si="2"/>
        <v>3</v>
      </c>
      <c r="B43" s="142" t="s">
        <v>225</v>
      </c>
      <c r="C43" s="100">
        <f t="shared" si="32"/>
        <v>6</v>
      </c>
      <c r="D43" s="100">
        <f t="shared" si="32"/>
        <v>6</v>
      </c>
      <c r="E43" s="100">
        <f t="shared" si="32"/>
        <v>6</v>
      </c>
      <c r="F43" s="100">
        <f t="shared" si="32"/>
        <v>6</v>
      </c>
      <c r="G43" s="100">
        <f>$L43*G$1+$M43</f>
        <v>6</v>
      </c>
      <c r="H43" s="101">
        <v>6</v>
      </c>
      <c r="I43" s="103">
        <v>6</v>
      </c>
      <c r="J43" s="101">
        <v>6</v>
      </c>
      <c r="K43" s="188">
        <v>6</v>
      </c>
      <c r="L43" s="119">
        <f t="shared" si="33"/>
        <v>0</v>
      </c>
      <c r="M43" s="119">
        <f t="shared" si="34"/>
        <v>6</v>
      </c>
      <c r="N43" s="267" t="s">
        <v>1020</v>
      </c>
    </row>
    <row r="44" spans="1:21" x14ac:dyDescent="0.25">
      <c r="A44" s="119">
        <f t="shared" ca="1" si="2"/>
        <v>3</v>
      </c>
      <c r="B44" s="143" t="s">
        <v>568</v>
      </c>
      <c r="C44" s="195">
        <f t="shared" ref="C44:F44" si="35">D44+$L44</f>
        <v>38.499999999999986</v>
      </c>
      <c r="D44" s="195">
        <f t="shared" si="35"/>
        <v>40.199999999999989</v>
      </c>
      <c r="E44" s="195">
        <f t="shared" si="35"/>
        <v>41.899999999999991</v>
      </c>
      <c r="F44" s="195">
        <f t="shared" si="35"/>
        <v>43.599999999999994</v>
      </c>
      <c r="G44" s="195">
        <f t="shared" ref="G44" si="36">H44+$L44</f>
        <v>45.3</v>
      </c>
      <c r="H44" s="119">
        <v>47</v>
      </c>
      <c r="I44" s="119"/>
      <c r="K44" s="188"/>
      <c r="L44" s="119">
        <f>L39</f>
        <v>-1.7</v>
      </c>
      <c r="M44" s="119">
        <v>47</v>
      </c>
      <c r="N44" s="267" t="s">
        <v>1031</v>
      </c>
      <c r="O44" s="4" t="s">
        <v>1032</v>
      </c>
    </row>
    <row r="45" spans="1:21" x14ac:dyDescent="0.25">
      <c r="A45" s="119">
        <f t="shared" ca="1" si="2"/>
        <v>2</v>
      </c>
      <c r="B45" s="121" t="s">
        <v>644</v>
      </c>
      <c r="C45" s="270">
        <f t="shared" ref="C45:G45" si="37">SUBTOTAL(9,C46:C51)</f>
        <v>1865.4476701631993</v>
      </c>
      <c r="D45" s="270">
        <f t="shared" si="37"/>
        <v>1775.6733948799995</v>
      </c>
      <c r="E45" s="270">
        <f t="shared" si="37"/>
        <v>1704.7485919999997</v>
      </c>
      <c r="F45" s="270">
        <f t="shared" si="37"/>
        <v>1031.1127999999999</v>
      </c>
      <c r="G45" s="270">
        <f t="shared" si="37"/>
        <v>996.52</v>
      </c>
      <c r="H45" s="115">
        <f>SUBTOTAL(9,H46:H51)</f>
        <v>973</v>
      </c>
      <c r="I45" s="115">
        <f>SUBTOTAL(9,I46:I51)</f>
        <v>332</v>
      </c>
      <c r="J45" s="115">
        <f>SUBTOTAL(9,J46:J51)</f>
        <v>328</v>
      </c>
      <c r="K45" s="115">
        <f>SUBTOTAL(9,K46:K51)</f>
        <v>343</v>
      </c>
    </row>
    <row r="46" spans="1:21" x14ac:dyDescent="0.25">
      <c r="A46" s="119">
        <f t="shared" ca="1" si="2"/>
        <v>4</v>
      </c>
      <c r="B46" s="124" t="s">
        <v>497</v>
      </c>
      <c r="C46" s="103">
        <f t="shared" ref="C46:G46" si="38">SUBTOTAL(9,C47:C48)</f>
        <v>714.44767016319929</v>
      </c>
      <c r="D46" s="103">
        <f t="shared" si="38"/>
        <v>601.17339487999948</v>
      </c>
      <c r="E46" s="103">
        <f t="shared" si="38"/>
        <v>508.74859199999969</v>
      </c>
      <c r="F46" s="103">
        <f t="shared" si="38"/>
        <v>434.61279999999988</v>
      </c>
      <c r="G46" s="103">
        <f t="shared" si="38"/>
        <v>376.52</v>
      </c>
      <c r="H46" s="103">
        <f>SUBTOTAL(9,H47:H48)</f>
        <v>332</v>
      </c>
      <c r="I46" s="103">
        <f>SUBTOTAL(9,I47:I48)</f>
        <v>287</v>
      </c>
      <c r="J46" s="103">
        <f>SUBTOTAL(9,J47:J48)</f>
        <v>267</v>
      </c>
      <c r="K46" s="103">
        <f>SUBTOTAL(9,K47:K48)</f>
        <v>254</v>
      </c>
    </row>
    <row r="47" spans="1:21" x14ac:dyDescent="0.25">
      <c r="A47" s="119">
        <f t="shared" ca="1" si="2"/>
        <v>6</v>
      </c>
      <c r="B47" s="146" t="s">
        <v>495</v>
      </c>
      <c r="C47" s="100">
        <f t="shared" ref="C47:F47" si="39">D47*$L47</f>
        <v>1382.4476701631993</v>
      </c>
      <c r="D47" s="100">
        <f t="shared" si="39"/>
        <v>1212.6733948799995</v>
      </c>
      <c r="E47" s="100">
        <f t="shared" si="39"/>
        <v>1063.7485919999997</v>
      </c>
      <c r="F47" s="100">
        <f t="shared" si="39"/>
        <v>933.11279999999988</v>
      </c>
      <c r="G47" s="100">
        <f>H47*$L47</f>
        <v>818.52</v>
      </c>
      <c r="H47" s="101">
        <v>718</v>
      </c>
      <c r="I47" s="101">
        <v>617</v>
      </c>
      <c r="J47" s="101">
        <v>536</v>
      </c>
      <c r="K47" s="101">
        <v>472</v>
      </c>
      <c r="L47" s="285">
        <v>1.1399999999999999</v>
      </c>
      <c r="M47" s="285"/>
      <c r="N47" s="267" t="s">
        <v>1012</v>
      </c>
      <c r="O47" s="4" t="s">
        <v>1063</v>
      </c>
    </row>
    <row r="48" spans="1:21" x14ac:dyDescent="0.25">
      <c r="A48" s="119">
        <f t="shared" ca="1" si="2"/>
        <v>6</v>
      </c>
      <c r="B48" s="146" t="s">
        <v>496</v>
      </c>
      <c r="C48" s="100">
        <f t="shared" ref="C48:F48" si="40">$L48*C$1+$M48</f>
        <v>-668</v>
      </c>
      <c r="D48" s="100">
        <f t="shared" si="40"/>
        <v>-611.5</v>
      </c>
      <c r="E48" s="100">
        <f t="shared" si="40"/>
        <v>-555</v>
      </c>
      <c r="F48" s="100">
        <f t="shared" si="40"/>
        <v>-498.5</v>
      </c>
      <c r="G48" s="100">
        <f>$L48*G$1+$M48</f>
        <v>-442</v>
      </c>
      <c r="H48" s="102">
        <v>-386</v>
      </c>
      <c r="I48" s="102">
        <v>-330</v>
      </c>
      <c r="J48" s="102">
        <v>-269</v>
      </c>
      <c r="K48" s="102">
        <v>-218</v>
      </c>
      <c r="L48" s="119">
        <f t="shared" ref="L48" si="41">SLOPE(H48:K48, $H$1:$K$1)</f>
        <v>-56.5</v>
      </c>
      <c r="M48" s="119">
        <f>INTERCEPT(H48:K48,$H$1:$K$1)</f>
        <v>113575</v>
      </c>
      <c r="N48" s="267" t="s">
        <v>1020</v>
      </c>
      <c r="O48" s="4">
        <f>H48-I48</f>
        <v>-56</v>
      </c>
      <c r="P48" s="4">
        <f>I48-J48</f>
        <v>-61</v>
      </c>
      <c r="Q48" s="4">
        <f>J48-K48</f>
        <v>-51</v>
      </c>
      <c r="R48" s="4">
        <f>K48-L48</f>
        <v>-161.5</v>
      </c>
    </row>
    <row r="49" spans="1:21" x14ac:dyDescent="0.25">
      <c r="A49" s="119">
        <f t="shared" ca="1" si="2"/>
        <v>4</v>
      </c>
      <c r="B49" s="292" t="s">
        <v>643</v>
      </c>
      <c r="C49" s="103">
        <f t="shared" ref="C49:G49" si="42">SUBTOTAL(9,C50:C51)</f>
        <v>1151</v>
      </c>
      <c r="D49" s="103">
        <f t="shared" si="42"/>
        <v>1174.5</v>
      </c>
      <c r="E49" s="199">
        <f t="shared" si="42"/>
        <v>1196</v>
      </c>
      <c r="F49" s="199">
        <f t="shared" si="42"/>
        <v>596.5</v>
      </c>
      <c r="G49" s="103">
        <f t="shared" si="42"/>
        <v>620</v>
      </c>
      <c r="H49" s="103">
        <f>SUBTOTAL(9,H50:H51)</f>
        <v>641</v>
      </c>
      <c r="I49" s="103">
        <f>SUBTOTAL(9,I50:I51)</f>
        <v>45</v>
      </c>
      <c r="J49" s="103">
        <f t="shared" ref="J49:K49" si="43">SUBTOTAL(9,J50:J51)</f>
        <v>61</v>
      </c>
      <c r="K49" s="103">
        <f t="shared" si="43"/>
        <v>89</v>
      </c>
      <c r="O49" s="237"/>
    </row>
    <row r="50" spans="1:21" x14ac:dyDescent="0.25">
      <c r="A50" s="119">
        <f t="shared" ca="1" si="2"/>
        <v>6</v>
      </c>
      <c r="B50" s="146" t="s">
        <v>642</v>
      </c>
      <c r="C50" s="100">
        <f t="shared" ref="C50:F50" si="44">D50+F50-G50</f>
        <v>1408</v>
      </c>
      <c r="D50" s="100">
        <f t="shared" si="44"/>
        <v>1409</v>
      </c>
      <c r="E50" s="100">
        <f t="shared" si="44"/>
        <v>1408</v>
      </c>
      <c r="F50" s="100">
        <f t="shared" si="44"/>
        <v>786</v>
      </c>
      <c r="G50" s="100">
        <f>H50+J50-K50</f>
        <v>787</v>
      </c>
      <c r="H50" s="103">
        <v>786</v>
      </c>
      <c r="I50" s="103">
        <v>164</v>
      </c>
      <c r="J50" s="103">
        <v>165</v>
      </c>
      <c r="K50" s="103">
        <v>164</v>
      </c>
      <c r="N50" s="267" t="s">
        <v>1034</v>
      </c>
      <c r="O50" s="237" t="s">
        <v>1035</v>
      </c>
    </row>
    <row r="51" spans="1:21" x14ac:dyDescent="0.25">
      <c r="A51" s="119">
        <f t="shared" ca="1" si="2"/>
        <v>6</v>
      </c>
      <c r="B51" s="146" t="s">
        <v>496</v>
      </c>
      <c r="C51" s="100">
        <f t="shared" ref="C51:F51" si="45">$L51*C$1+$M51</f>
        <v>-257</v>
      </c>
      <c r="D51" s="100">
        <f t="shared" si="45"/>
        <v>-234.5</v>
      </c>
      <c r="E51" s="100">
        <f t="shared" si="45"/>
        <v>-212</v>
      </c>
      <c r="F51" s="100">
        <f t="shared" si="45"/>
        <v>-189.5</v>
      </c>
      <c r="G51" s="100">
        <f>$L51*G$1+$M51</f>
        <v>-167</v>
      </c>
      <c r="H51" s="102">
        <v>-145</v>
      </c>
      <c r="I51" s="102">
        <v>-119</v>
      </c>
      <c r="J51" s="102">
        <v>-104</v>
      </c>
      <c r="K51" s="102">
        <v>-75</v>
      </c>
      <c r="L51" s="119">
        <f t="shared" ref="L51" si="46">SLOPE(H51:K51, $H$1:$K$1)</f>
        <v>-22.5</v>
      </c>
      <c r="M51" s="119">
        <f>INTERCEPT(H51:K51,$H$1:$K$1)</f>
        <v>45238</v>
      </c>
      <c r="N51" s="267" t="s">
        <v>1020</v>
      </c>
      <c r="O51" s="4">
        <f>H51-I51</f>
        <v>-26</v>
      </c>
      <c r="P51" s="4">
        <f t="shared" ref="P51" si="47">I51-J51</f>
        <v>-15</v>
      </c>
      <c r="Q51" s="4">
        <f t="shared" ref="Q51" si="48">J51-K51</f>
        <v>-29</v>
      </c>
      <c r="R51" s="4">
        <f t="shared" ref="R51" si="49">K51-L51</f>
        <v>-52.5</v>
      </c>
    </row>
    <row r="52" spans="1:21" x14ac:dyDescent="0.25">
      <c r="A52" s="119">
        <f t="shared" ca="1" si="2"/>
        <v>2</v>
      </c>
      <c r="B52" s="121" t="s">
        <v>420</v>
      </c>
      <c r="C52" s="185">
        <f>'N10 Pension'!B24</f>
        <v>1633.6000000000058</v>
      </c>
      <c r="D52" s="185">
        <f>'N10 Pension'!C24</f>
        <v>1512.2000000000116</v>
      </c>
      <c r="E52" s="185">
        <f>'N10 Pension'!D24</f>
        <v>1390.7999999999884</v>
      </c>
      <c r="F52" s="185">
        <f>'N10 Pension'!E24</f>
        <v>1269.3999999999942</v>
      </c>
      <c r="G52" s="185">
        <f>'N10 Pension'!F24</f>
        <v>1148</v>
      </c>
      <c r="H52" s="185">
        <f>'N10 Pension'!G24</f>
        <v>1043</v>
      </c>
      <c r="I52" s="185">
        <f>'N10 Pension'!H24</f>
        <v>731</v>
      </c>
      <c r="J52" s="185">
        <f>'N10 Pension'!I24</f>
        <v>735</v>
      </c>
      <c r="K52" s="185">
        <f>'N10 Pension'!J24</f>
        <v>637</v>
      </c>
      <c r="N52" s="267" t="s">
        <v>1133</v>
      </c>
    </row>
    <row r="53" spans="1:21" x14ac:dyDescent="0.25">
      <c r="C53" s="115"/>
      <c r="D53" s="115"/>
      <c r="E53" s="115"/>
      <c r="F53" s="115"/>
      <c r="G53" s="115"/>
      <c r="K53" s="102" t="s">
        <v>282</v>
      </c>
    </row>
    <row r="54" spans="1:21" x14ac:dyDescent="0.25">
      <c r="A54" s="119">
        <f t="shared" ca="1" si="2"/>
        <v>1</v>
      </c>
      <c r="B54" s="120" t="s">
        <v>421</v>
      </c>
      <c r="C54" s="100">
        <f t="shared" ref="C54:F54" si="50">$L54*C$1+$M54</f>
        <v>1678.7999999999884</v>
      </c>
      <c r="D54" s="100">
        <f t="shared" si="50"/>
        <v>1554.6000000000058</v>
      </c>
      <c r="E54" s="100">
        <f t="shared" si="50"/>
        <v>1430.3999999999942</v>
      </c>
      <c r="F54" s="100">
        <f t="shared" si="50"/>
        <v>1306.2000000000116</v>
      </c>
      <c r="G54" s="100">
        <f>$L54*G$1+$M54</f>
        <v>1182</v>
      </c>
      <c r="H54" s="185">
        <v>966</v>
      </c>
      <c r="I54" s="185">
        <v>1015</v>
      </c>
      <c r="J54" s="193">
        <v>922</v>
      </c>
      <c r="K54" s="102">
        <v>583</v>
      </c>
      <c r="L54" s="119">
        <f>SLOPE(H54:K54, $H$1:$K$1)</f>
        <v>124.2</v>
      </c>
      <c r="M54" s="119">
        <f>INTERCEPT(H54:K54,$H$1:$K$1)</f>
        <v>-249453.6</v>
      </c>
      <c r="N54" s="267" t="s">
        <v>1040</v>
      </c>
      <c r="O54" s="4" t="s">
        <v>815</v>
      </c>
      <c r="P54" s="4">
        <f>'N2 Income Tax'!G74+'N2 Income Tax'!G75</f>
        <v>312</v>
      </c>
    </row>
    <row r="55" spans="1:21" x14ac:dyDescent="0.25">
      <c r="B55" s="125" t="s">
        <v>282</v>
      </c>
      <c r="C55" s="185"/>
      <c r="D55" s="185"/>
      <c r="E55" s="185"/>
      <c r="F55" s="185"/>
      <c r="G55" s="185"/>
      <c r="H55" s="185"/>
      <c r="I55" s="185"/>
      <c r="J55" s="185"/>
      <c r="K55" s="192" t="s">
        <v>282</v>
      </c>
    </row>
    <row r="56" spans="1:21" x14ac:dyDescent="0.25">
      <c r="A56" s="119">
        <f t="shared" ca="1" si="2"/>
        <v>0</v>
      </c>
      <c r="B56" s="167" t="s">
        <v>422</v>
      </c>
      <c r="C56" s="196">
        <f t="shared" ref="C56:G56" si="51">SUBTOTAL(9,C57:C89)</f>
        <v>13211.863587151478</v>
      </c>
      <c r="D56" s="196">
        <f t="shared" si="51"/>
        <v>12533.06012141849</v>
      </c>
      <c r="E56" s="196">
        <f t="shared" si="51"/>
        <v>11913.033514556302</v>
      </c>
      <c r="F56" s="196">
        <f t="shared" si="51"/>
        <v>11027.894411325178</v>
      </c>
      <c r="G56" s="196">
        <f t="shared" si="51"/>
        <v>10554.888141570485</v>
      </c>
      <c r="H56" s="196">
        <f>SUBTOTAL(9,H57:H89)</f>
        <v>9911</v>
      </c>
      <c r="I56" s="196">
        <f>SUBTOTAL(9,I57:I89)</f>
        <v>7837</v>
      </c>
      <c r="J56" s="196">
        <f>SUBTOTAL(9,J57:J89)</f>
        <v>7384</v>
      </c>
      <c r="K56" s="196">
        <f>SUBTOTAL(9,K57:K89)</f>
        <v>7671</v>
      </c>
    </row>
    <row r="57" spans="1:21" x14ac:dyDescent="0.25">
      <c r="A57" s="119">
        <f t="shared" ca="1" si="2"/>
        <v>1</v>
      </c>
      <c r="B57" s="120" t="s">
        <v>423</v>
      </c>
      <c r="C57" s="185">
        <f t="shared" ref="C57:G57" si="52">SUBTOTAL(9,C58:C65)</f>
        <v>8941.5086480928767</v>
      </c>
      <c r="D57" s="185">
        <f t="shared" si="52"/>
        <v>8182.0373355417623</v>
      </c>
      <c r="E57" s="185">
        <f t="shared" si="52"/>
        <v>7466.0799574694211</v>
      </c>
      <c r="F57" s="185">
        <f t="shared" si="52"/>
        <v>6789.2914309406933</v>
      </c>
      <c r="G57" s="185">
        <f t="shared" si="52"/>
        <v>6147.7605511777301</v>
      </c>
      <c r="H57" s="185">
        <f>SUBTOTAL(9,H58:H65)</f>
        <v>5677</v>
      </c>
      <c r="I57" s="185">
        <f>SUBTOTAL(9,I58:I65)</f>
        <v>4325</v>
      </c>
      <c r="J57" s="193">
        <f>SUBTOTAL(9,J58:J65)</f>
        <v>3803</v>
      </c>
      <c r="K57" s="193">
        <f>SUBTOTAL(9,K58:K65)</f>
        <v>4021</v>
      </c>
      <c r="O57" s="4" t="s">
        <v>1053</v>
      </c>
    </row>
    <row r="58" spans="1:21" x14ac:dyDescent="0.25">
      <c r="A58" s="119">
        <f t="shared" ca="1" si="2"/>
        <v>3</v>
      </c>
      <c r="B58" s="142" t="s">
        <v>380</v>
      </c>
      <c r="C58" s="100">
        <f t="shared" ref="C58:F58" si="53">D58*$L58</f>
        <v>4364.0419814262159</v>
      </c>
      <c r="D58" s="100">
        <f t="shared" si="53"/>
        <v>3928.2706688750886</v>
      </c>
      <c r="E58" s="100">
        <f t="shared" si="53"/>
        <v>3536.0132908027658</v>
      </c>
      <c r="F58" s="100">
        <f t="shared" si="53"/>
        <v>3182.9247642740243</v>
      </c>
      <c r="G58" s="100">
        <f>H58*$L58</f>
        <v>2865.0938845110659</v>
      </c>
      <c r="H58" s="190">
        <v>2579</v>
      </c>
      <c r="I58" s="190">
        <v>1854</v>
      </c>
      <c r="J58" s="191">
        <v>1706</v>
      </c>
      <c r="K58" s="192">
        <v>1881</v>
      </c>
      <c r="L58" s="265">
        <f>(H58/K58)^(1/3)</f>
        <v>1.1109320994614447</v>
      </c>
      <c r="M58" s="265"/>
      <c r="N58" s="267" t="s">
        <v>1012</v>
      </c>
    </row>
    <row r="59" spans="1:21" x14ac:dyDescent="0.25">
      <c r="A59" s="119">
        <f t="shared" ca="1" si="2"/>
        <v>3</v>
      </c>
      <c r="B59" s="142" t="s">
        <v>424</v>
      </c>
      <c r="C59" s="185">
        <f>'N9 Debt'!C22</f>
        <v>139.66666666666424</v>
      </c>
      <c r="D59" s="185">
        <f>'N9 Debt'!D22</f>
        <v>123.16666666666424</v>
      </c>
      <c r="E59" s="185">
        <f>'N9 Debt'!E22</f>
        <v>106.66666666666424</v>
      </c>
      <c r="F59" s="185">
        <f>'N9 Debt'!F22</f>
        <v>90.166666666664241</v>
      </c>
      <c r="G59" s="185">
        <f>'N9 Debt'!G22</f>
        <v>73.666666666664241</v>
      </c>
      <c r="H59" s="185">
        <f>'N9 Debt'!H22</f>
        <v>57</v>
      </c>
      <c r="I59" s="185">
        <f>'N9 Debt'!I22</f>
        <v>41</v>
      </c>
      <c r="J59" s="185">
        <f>'N9 Debt'!J22</f>
        <v>24</v>
      </c>
      <c r="K59" s="185">
        <f>'N9 Debt'!K22</f>
        <v>86</v>
      </c>
      <c r="N59" s="154" t="s">
        <v>1044</v>
      </c>
      <c r="O59" s="154" t="s">
        <v>1047</v>
      </c>
      <c r="Q59" s="203"/>
      <c r="R59" s="203"/>
      <c r="S59" s="203"/>
      <c r="T59" s="203"/>
      <c r="U59" s="203"/>
    </row>
    <row r="60" spans="1:21" x14ac:dyDescent="0.25">
      <c r="A60" s="119">
        <f t="shared" ca="1" si="2"/>
        <v>3</v>
      </c>
      <c r="B60" s="142" t="s">
        <v>425</v>
      </c>
      <c r="C60" s="185">
        <f>'N9 Debt'!C24</f>
        <v>728</v>
      </c>
      <c r="D60" s="185">
        <f>'N9 Debt'!D24</f>
        <v>642</v>
      </c>
      <c r="E60" s="185">
        <f>'N9 Debt'!E24</f>
        <v>556</v>
      </c>
      <c r="F60" s="185">
        <f>'N9 Debt'!F24</f>
        <v>470</v>
      </c>
      <c r="G60" s="185">
        <f>'N9 Debt'!G24</f>
        <v>384</v>
      </c>
      <c r="H60" s="185">
        <f>'N9 Debt'!H24</f>
        <v>298</v>
      </c>
      <c r="I60" s="185">
        <f>'N9 Debt'!I24</f>
        <v>212</v>
      </c>
      <c r="J60" s="185">
        <f>'N9 Debt'!J24</f>
        <v>0</v>
      </c>
      <c r="K60" s="185">
        <f>'N9 Debt'!K24</f>
        <v>0</v>
      </c>
      <c r="N60" s="154" t="s">
        <v>1044</v>
      </c>
      <c r="O60" s="154" t="s">
        <v>1046</v>
      </c>
      <c r="Q60" s="203"/>
      <c r="R60" s="203"/>
      <c r="S60" s="203"/>
      <c r="T60" s="203"/>
      <c r="U60" s="203"/>
    </row>
    <row r="61" spans="1:21" x14ac:dyDescent="0.25">
      <c r="A61" s="119">
        <f t="shared" ca="1" si="2"/>
        <v>3</v>
      </c>
      <c r="B61" s="142" t="s">
        <v>636</v>
      </c>
      <c r="C61" s="100">
        <f t="shared" ref="C61:F64" si="54">$L61*C$1+$M61</f>
        <v>1127.7999999999884</v>
      </c>
      <c r="D61" s="100">
        <f t="shared" si="54"/>
        <v>1036.6000000000058</v>
      </c>
      <c r="E61" s="100">
        <f t="shared" si="54"/>
        <v>945.39999999999418</v>
      </c>
      <c r="F61" s="100">
        <f t="shared" si="54"/>
        <v>854.20000000001164</v>
      </c>
      <c r="G61" s="100">
        <f>$L61*G$1+$M61</f>
        <v>763</v>
      </c>
      <c r="H61" s="185">
        <v>811</v>
      </c>
      <c r="I61" s="185">
        <v>412</v>
      </c>
      <c r="J61" s="193">
        <v>409</v>
      </c>
      <c r="K61" s="193">
        <v>508</v>
      </c>
      <c r="L61" s="119">
        <f t="shared" ref="L61:L63" si="55">SLOPE(H61:K61, $H$1:$K$1)</f>
        <v>91.2</v>
      </c>
      <c r="M61" s="119">
        <f t="shared" ref="M61:M64" si="56">INTERCEPT(H61:K61,$H$1:$K$1)</f>
        <v>-183278.6</v>
      </c>
      <c r="N61" s="267" t="s">
        <v>1020</v>
      </c>
      <c r="Q61" s="203"/>
      <c r="R61" s="203"/>
      <c r="S61" s="203"/>
      <c r="T61" s="203"/>
      <c r="U61" s="203"/>
    </row>
    <row r="62" spans="1:21" x14ac:dyDescent="0.25">
      <c r="A62" s="119">
        <f t="shared" ca="1" si="2"/>
        <v>3</v>
      </c>
      <c r="B62" s="142" t="s">
        <v>635</v>
      </c>
      <c r="C62" s="100">
        <f t="shared" si="54"/>
        <v>537.80000000000291</v>
      </c>
      <c r="D62" s="100">
        <f t="shared" si="54"/>
        <v>513.09999999999854</v>
      </c>
      <c r="E62" s="100">
        <f t="shared" si="54"/>
        <v>488.40000000000146</v>
      </c>
      <c r="F62" s="100">
        <f t="shared" si="54"/>
        <v>463.69999999999709</v>
      </c>
      <c r="G62" s="100">
        <f>$L62*G$1+$M62</f>
        <v>439</v>
      </c>
      <c r="H62" s="185">
        <v>454</v>
      </c>
      <c r="I62" s="185">
        <v>333</v>
      </c>
      <c r="J62" s="193">
        <v>359</v>
      </c>
      <c r="K62" s="119">
        <v>363</v>
      </c>
      <c r="L62" s="119">
        <f t="shared" si="55"/>
        <v>24.7</v>
      </c>
      <c r="M62" s="119">
        <f t="shared" si="56"/>
        <v>-49405.599999999999</v>
      </c>
      <c r="N62" s="267" t="s">
        <v>1020</v>
      </c>
      <c r="O62" s="4" t="s">
        <v>1054</v>
      </c>
      <c r="Q62" s="203"/>
      <c r="R62" s="203"/>
      <c r="S62" s="203"/>
      <c r="T62" s="203"/>
      <c r="U62" s="203"/>
    </row>
    <row r="63" spans="1:21" x14ac:dyDescent="0.25">
      <c r="A63" s="119">
        <f t="shared" ca="1" si="2"/>
        <v>3</v>
      </c>
      <c r="B63" s="142" t="s">
        <v>426</v>
      </c>
      <c r="C63" s="100">
        <f t="shared" si="54"/>
        <v>678.30000000000291</v>
      </c>
      <c r="D63" s="100">
        <f t="shared" si="54"/>
        <v>642.10000000000582</v>
      </c>
      <c r="E63" s="100">
        <f t="shared" si="54"/>
        <v>605.89999999999418</v>
      </c>
      <c r="F63" s="100">
        <f t="shared" si="54"/>
        <v>569.69999999999709</v>
      </c>
      <c r="G63" s="100">
        <f>$L63*G$1+$M63</f>
        <v>533.5</v>
      </c>
      <c r="H63" s="185">
        <v>500</v>
      </c>
      <c r="I63" s="185">
        <v>468</v>
      </c>
      <c r="J63" s="193">
        <v>403</v>
      </c>
      <c r="K63" s="193">
        <v>401</v>
      </c>
      <c r="L63" s="119">
        <f t="shared" si="55"/>
        <v>36.200000000000003</v>
      </c>
      <c r="M63" s="119">
        <f t="shared" si="56"/>
        <v>-72518.100000000006</v>
      </c>
      <c r="N63" s="267" t="s">
        <v>1020</v>
      </c>
      <c r="O63" s="4" t="s">
        <v>830</v>
      </c>
      <c r="P63" s="4">
        <f>'N8 Warranties'!C14</f>
        <v>231</v>
      </c>
      <c r="Q63" s="203"/>
      <c r="R63" s="203"/>
      <c r="S63" s="203"/>
      <c r="T63" s="203"/>
      <c r="U63" s="203"/>
    </row>
    <row r="64" spans="1:21" x14ac:dyDescent="0.25">
      <c r="A64" s="119">
        <f t="shared" ca="1" si="2"/>
        <v>3</v>
      </c>
      <c r="B64" s="142" t="s">
        <v>427</v>
      </c>
      <c r="C64" s="100">
        <f t="shared" si="54"/>
        <v>1250.5</v>
      </c>
      <c r="D64" s="100">
        <f t="shared" si="54"/>
        <v>1193</v>
      </c>
      <c r="E64" s="100">
        <f t="shared" si="54"/>
        <v>1135.5</v>
      </c>
      <c r="F64" s="100">
        <f t="shared" si="54"/>
        <v>1078</v>
      </c>
      <c r="G64" s="100">
        <f>$L64*G$1+$M64</f>
        <v>1020.5</v>
      </c>
      <c r="H64" s="185">
        <v>915</v>
      </c>
      <c r="I64" s="185">
        <v>970</v>
      </c>
      <c r="J64" s="193">
        <v>863</v>
      </c>
      <c r="K64" s="192">
        <v>759</v>
      </c>
      <c r="L64" s="119">
        <f t="shared" ref="L64" si="57">SLOPE(H64:K64, $H$1:$K$1)</f>
        <v>57.5</v>
      </c>
      <c r="M64" s="119">
        <f t="shared" si="56"/>
        <v>-115014.5</v>
      </c>
      <c r="N64" s="267" t="s">
        <v>1020</v>
      </c>
      <c r="O64" s="4" t="s">
        <v>816</v>
      </c>
      <c r="P64" s="4">
        <f>'N2 Income Tax'!G79</f>
        <v>77</v>
      </c>
      <c r="Q64" s="203"/>
      <c r="R64" s="203"/>
      <c r="S64" s="203"/>
      <c r="T64" s="203"/>
      <c r="U64" s="203"/>
    </row>
    <row r="65" spans="1:22" x14ac:dyDescent="0.25">
      <c r="A65" s="119">
        <f t="shared" ca="1" si="2"/>
        <v>3</v>
      </c>
      <c r="B65" s="142" t="s">
        <v>631</v>
      </c>
      <c r="C65" s="185">
        <f t="shared" ref="C65:G65" si="58">-C80</f>
        <v>115.40000000000146</v>
      </c>
      <c r="D65" s="185">
        <f t="shared" si="58"/>
        <v>103.79999999999927</v>
      </c>
      <c r="E65" s="185">
        <f t="shared" si="58"/>
        <v>92.200000000000728</v>
      </c>
      <c r="F65" s="185">
        <f t="shared" si="58"/>
        <v>80.599999999998545</v>
      </c>
      <c r="G65" s="185">
        <f t="shared" si="58"/>
        <v>69</v>
      </c>
      <c r="H65" s="185">
        <f>-H80</f>
        <v>63</v>
      </c>
      <c r="I65" s="185">
        <f>-I80</f>
        <v>35</v>
      </c>
      <c r="J65" s="185">
        <f>-J80</f>
        <v>39</v>
      </c>
      <c r="K65" s="185">
        <f>-K80</f>
        <v>23</v>
      </c>
      <c r="Q65" s="203"/>
      <c r="R65" s="203"/>
      <c r="S65" s="203"/>
      <c r="T65" s="203"/>
      <c r="U65" s="203"/>
    </row>
    <row r="66" spans="1:22" x14ac:dyDescent="0.25">
      <c r="B66" s="147"/>
      <c r="C66" s="94"/>
      <c r="D66" s="94"/>
      <c r="E66" s="94"/>
      <c r="F66" s="94"/>
      <c r="G66" s="133"/>
      <c r="H66" s="197"/>
      <c r="I66" s="197"/>
      <c r="J66" s="194"/>
      <c r="K66" s="192"/>
      <c r="Q66" s="203"/>
      <c r="R66" s="203"/>
      <c r="S66" s="203"/>
      <c r="T66" s="203"/>
      <c r="U66" s="203"/>
    </row>
    <row r="67" spans="1:22" x14ac:dyDescent="0.25">
      <c r="A67" s="119">
        <f t="shared" ca="1" si="2"/>
        <v>1</v>
      </c>
      <c r="B67" s="120" t="s">
        <v>428</v>
      </c>
      <c r="C67" s="262">
        <f t="shared" ref="C67:G67" si="59">SUBTOTAL(9,C68:C89)</f>
        <v>4270.3549390586031</v>
      </c>
      <c r="D67" s="262">
        <f t="shared" si="59"/>
        <v>4351.0227858767294</v>
      </c>
      <c r="E67" s="262">
        <f t="shared" si="59"/>
        <v>4446.9535570868793</v>
      </c>
      <c r="F67" s="262">
        <f t="shared" si="59"/>
        <v>4238.6029803844849</v>
      </c>
      <c r="G67" s="262">
        <f t="shared" si="59"/>
        <v>4407.1275903927562</v>
      </c>
      <c r="H67" s="192">
        <f>SUBTOTAL(9,H68:H89)</f>
        <v>4234</v>
      </c>
      <c r="I67" s="192">
        <f t="shared" ref="I67:K67" si="60">SUBTOTAL(9,I68:I89)</f>
        <v>3512</v>
      </c>
      <c r="J67" s="192">
        <f t="shared" si="60"/>
        <v>3581</v>
      </c>
      <c r="K67" s="192">
        <f t="shared" si="60"/>
        <v>3650</v>
      </c>
      <c r="O67" s="237"/>
      <c r="P67" s="237"/>
      <c r="R67"/>
      <c r="S67" s="128"/>
      <c r="T67" s="128"/>
      <c r="U67" s="128"/>
      <c r="V67" s="128"/>
    </row>
    <row r="68" spans="1:22" x14ac:dyDescent="0.25">
      <c r="A68" s="119">
        <f t="shared" ref="A68:A89" ca="1" si="61">IndentLevel(B68)</f>
        <v>3</v>
      </c>
      <c r="B68" s="123" t="s">
        <v>429</v>
      </c>
      <c r="C68" s="262">
        <f t="shared" ref="C68:G68" si="62">SUBTOTAL(9,C69:C80)</f>
        <v>1516.236025714893</v>
      </c>
      <c r="D68" s="262">
        <f t="shared" si="62"/>
        <v>1531.4618271162178</v>
      </c>
      <c r="E68" s="262">
        <f t="shared" si="62"/>
        <v>1558.9139268305512</v>
      </c>
      <c r="F68" s="262">
        <f t="shared" si="62"/>
        <v>1280.8984606919146</v>
      </c>
      <c r="G68" s="262">
        <f t="shared" si="62"/>
        <v>1287.2269550959425</v>
      </c>
      <c r="H68" s="185">
        <f>SUBTOTAL(9,H69:H80)</f>
        <v>1588</v>
      </c>
      <c r="I68" s="185">
        <f>SUBTOTAL(9,I69:I80)</f>
        <v>1568</v>
      </c>
      <c r="J68" s="185">
        <f>SUBTOTAL(9,J69:J80)</f>
        <v>1576</v>
      </c>
      <c r="K68" s="185">
        <f>SUBTOTAL(9,K69:K80)</f>
        <v>1577</v>
      </c>
      <c r="O68" s="237"/>
      <c r="P68" s="237"/>
      <c r="Q68" s="237"/>
      <c r="R68" s="237"/>
      <c r="S68" s="128"/>
      <c r="T68" s="128"/>
      <c r="U68" s="128"/>
      <c r="V68" s="128"/>
    </row>
    <row r="69" spans="1:22" x14ac:dyDescent="0.25">
      <c r="A69" s="119">
        <f t="shared" ca="1" si="61"/>
        <v>4</v>
      </c>
      <c r="B69" s="163" t="s">
        <v>705</v>
      </c>
      <c r="C69" s="276">
        <f t="shared" ref="C69:G69" si="63">SUBTOTAL(9,C70:C79)</f>
        <v>1631.6360257148945</v>
      </c>
      <c r="D69" s="276">
        <f t="shared" si="63"/>
        <v>1635.2618271162171</v>
      </c>
      <c r="E69" s="276">
        <f t="shared" si="63"/>
        <v>1651.1139268305519</v>
      </c>
      <c r="F69" s="276">
        <f t="shared" si="63"/>
        <v>1361.4984606919131</v>
      </c>
      <c r="G69" s="276">
        <f t="shared" si="63"/>
        <v>1356.2269550959425</v>
      </c>
      <c r="H69" s="159">
        <f>SUBTOTAL(9,H70:H79)</f>
        <v>1651</v>
      </c>
      <c r="I69" s="159">
        <f>SUBTOTAL(9,I70:I79)</f>
        <v>1603</v>
      </c>
      <c r="J69" s="159">
        <f>SUBTOTAL(9,J70:J79)</f>
        <v>1615</v>
      </c>
      <c r="K69" s="159">
        <f>SUBTOTAL(9,K70:K79)</f>
        <v>1600</v>
      </c>
      <c r="O69" s="237"/>
      <c r="R69" s="9"/>
    </row>
    <row r="70" spans="1:22" x14ac:dyDescent="0.25">
      <c r="A70" s="119">
        <f t="shared" ca="1" si="61"/>
        <v>5</v>
      </c>
      <c r="B70" s="147" t="s">
        <v>498</v>
      </c>
      <c r="C70" s="198">
        <f>'N9 Debt'!C3</f>
        <v>500</v>
      </c>
      <c r="D70" s="198">
        <f>'N9 Debt'!D3</f>
        <v>500</v>
      </c>
      <c r="E70" s="198">
        <f>'N9 Debt'!E3</f>
        <v>500</v>
      </c>
      <c r="F70" s="198">
        <f>'N9 Debt'!F3</f>
        <v>500</v>
      </c>
      <c r="G70" s="198">
        <f>'N9 Debt'!G3</f>
        <v>500</v>
      </c>
      <c r="H70" s="198">
        <f>'N9 Debt'!H3</f>
        <v>500</v>
      </c>
      <c r="I70" s="198">
        <f>'N9 Debt'!I3</f>
        <v>500</v>
      </c>
      <c r="J70" s="159">
        <f>'N9 Debt'!J3</f>
        <v>500</v>
      </c>
      <c r="K70" s="159">
        <f>'N9 Debt'!K3</f>
        <v>500</v>
      </c>
      <c r="N70" s="267" t="s">
        <v>1011</v>
      </c>
      <c r="O70" s="237"/>
      <c r="R70" s="9"/>
    </row>
    <row r="71" spans="1:22" x14ac:dyDescent="0.25">
      <c r="A71" s="119">
        <f t="shared" ca="1" si="61"/>
        <v>5</v>
      </c>
      <c r="B71" s="147" t="s">
        <v>499</v>
      </c>
      <c r="C71" s="199">
        <f>'N9 Debt'!C4</f>
        <v>58</v>
      </c>
      <c r="D71" s="199">
        <f>'N9 Debt'!D4</f>
        <v>58</v>
      </c>
      <c r="E71" s="199">
        <f>'N9 Debt'!E4</f>
        <v>58</v>
      </c>
      <c r="F71" s="199">
        <f>'N9 Debt'!F4</f>
        <v>58</v>
      </c>
      <c r="G71" s="199">
        <f>'N9 Debt'!G4</f>
        <v>58</v>
      </c>
      <c r="H71" s="199">
        <f>'N9 Debt'!H4</f>
        <v>58</v>
      </c>
      <c r="I71" s="199">
        <f>'N9 Debt'!I4</f>
        <v>58</v>
      </c>
      <c r="J71" s="159">
        <f>'N9 Debt'!J4</f>
        <v>58</v>
      </c>
      <c r="K71" s="159">
        <f>'N9 Debt'!K4</f>
        <v>58</v>
      </c>
      <c r="N71" s="267" t="s">
        <v>1011</v>
      </c>
      <c r="O71" s="237"/>
      <c r="R71" s="9"/>
    </row>
    <row r="72" spans="1:22" x14ac:dyDescent="0.25">
      <c r="A72" s="119">
        <f t="shared" ca="1" si="61"/>
        <v>5</v>
      </c>
      <c r="B72" s="147" t="s">
        <v>500</v>
      </c>
      <c r="C72" s="199">
        <f>'N9 Debt'!C5</f>
        <v>250</v>
      </c>
      <c r="D72" s="199">
        <f>'N9 Debt'!D5</f>
        <v>250</v>
      </c>
      <c r="E72" s="199">
        <f>'N9 Debt'!E5</f>
        <v>250</v>
      </c>
      <c r="F72" s="199">
        <f>'N9 Debt'!F5</f>
        <v>250</v>
      </c>
      <c r="G72" s="199">
        <f>'N9 Debt'!G5</f>
        <v>250</v>
      </c>
      <c r="H72" s="199">
        <f>'N9 Debt'!H5</f>
        <v>250</v>
      </c>
      <c r="I72" s="199">
        <f>'N9 Debt'!I5</f>
        <v>250</v>
      </c>
      <c r="J72" s="159">
        <f>'N9 Debt'!J5</f>
        <v>250</v>
      </c>
      <c r="K72" s="159">
        <f>'N9 Debt'!K5</f>
        <v>250</v>
      </c>
      <c r="N72" s="267" t="s">
        <v>1011</v>
      </c>
      <c r="O72" s="237"/>
      <c r="R72" s="9"/>
    </row>
    <row r="73" spans="1:22" x14ac:dyDescent="0.25">
      <c r="A73" s="119">
        <f t="shared" ca="1" si="61"/>
        <v>5</v>
      </c>
      <c r="B73" s="147" t="s">
        <v>501</v>
      </c>
      <c r="C73" s="199">
        <f>'N9 Debt'!C6</f>
        <v>500</v>
      </c>
      <c r="D73" s="199">
        <f>'N9 Debt'!D6</f>
        <v>500</v>
      </c>
      <c r="E73" s="199">
        <f>'N9 Debt'!E6</f>
        <v>500</v>
      </c>
      <c r="F73" s="199">
        <f>'N9 Debt'!F6</f>
        <v>500</v>
      </c>
      <c r="G73" s="199">
        <f>'N9 Debt'!G6</f>
        <v>500</v>
      </c>
      <c r="H73" s="199">
        <f>'N9 Debt'!H6</f>
        <v>500</v>
      </c>
      <c r="I73" s="199">
        <f>'N9 Debt'!I6</f>
        <v>500</v>
      </c>
      <c r="J73" s="159">
        <f>'N9 Debt'!J6</f>
        <v>500</v>
      </c>
      <c r="K73" s="159">
        <f>'N9 Debt'!K6</f>
        <v>500</v>
      </c>
      <c r="N73" s="267" t="s">
        <v>1011</v>
      </c>
      <c r="O73" s="237"/>
      <c r="R73" s="9"/>
    </row>
    <row r="74" spans="1:22" x14ac:dyDescent="0.25">
      <c r="A74" s="119">
        <f t="shared" ca="1" si="61"/>
        <v>5</v>
      </c>
      <c r="B74" s="147" t="s">
        <v>701</v>
      </c>
      <c r="C74" s="199">
        <f>'N9 Debt'!C7</f>
        <v>165</v>
      </c>
      <c r="D74" s="199">
        <f>'N9 Debt'!D7</f>
        <v>165</v>
      </c>
      <c r="E74" s="199">
        <f>'N9 Debt'!E7</f>
        <v>165</v>
      </c>
      <c r="F74" s="199">
        <f>'N9 Debt'!F7</f>
        <v>165</v>
      </c>
      <c r="G74" s="199">
        <f>'N9 Debt'!G7</f>
        <v>165</v>
      </c>
      <c r="H74" s="199">
        <f>'N9 Debt'!H7</f>
        <v>165</v>
      </c>
      <c r="I74" s="199">
        <f>'N9 Debt'!I7</f>
        <v>165</v>
      </c>
      <c r="J74" s="159">
        <f>'N9 Debt'!J7</f>
        <v>165</v>
      </c>
      <c r="K74" s="159">
        <f>'N9 Debt'!K7</f>
        <v>165</v>
      </c>
      <c r="N74" s="267" t="s">
        <v>1011</v>
      </c>
      <c r="O74" s="237"/>
      <c r="R74" s="9"/>
    </row>
    <row r="75" spans="1:22" x14ac:dyDescent="0.25">
      <c r="A75" s="119">
        <f t="shared" ca="1" si="61"/>
        <v>5</v>
      </c>
      <c r="B75" s="164" t="s">
        <v>704</v>
      </c>
      <c r="C75" s="159">
        <f>'N9 Debt'!C8</f>
        <v>0</v>
      </c>
      <c r="D75" s="159">
        <f>'N9 Debt'!D8</f>
        <v>0</v>
      </c>
      <c r="E75" s="159">
        <f>'N9 Debt'!E8</f>
        <v>0</v>
      </c>
      <c r="F75" s="159">
        <f>'N9 Debt'!F8</f>
        <v>0</v>
      </c>
      <c r="G75" s="159">
        <f>'N9 Debt'!G8</f>
        <v>0</v>
      </c>
      <c r="H75" s="159">
        <f>'N9 Debt'!H8</f>
        <v>0</v>
      </c>
      <c r="I75" s="159">
        <f>'N9 Debt'!I8</f>
        <v>0</v>
      </c>
      <c r="J75" s="159">
        <f>'N9 Debt'!J8</f>
        <v>0</v>
      </c>
      <c r="K75" s="159">
        <f>'N9 Debt'!K8</f>
        <v>3</v>
      </c>
      <c r="N75" s="267" t="s">
        <v>1037</v>
      </c>
      <c r="O75" s="237"/>
    </row>
    <row r="76" spans="1:22" x14ac:dyDescent="0.25">
      <c r="A76" s="119">
        <f t="shared" ca="1" si="61"/>
        <v>5</v>
      </c>
      <c r="B76" s="147" t="s">
        <v>502</v>
      </c>
      <c r="C76" s="199">
        <f>'N9 Debt'!C9</f>
        <v>11.453502937905853</v>
      </c>
      <c r="D76" s="199">
        <f>'N9 Debt'!D9</f>
        <v>27.913703822334327</v>
      </c>
      <c r="E76" s="199">
        <f>'N9 Debt'!E9</f>
        <v>54.326570508713701</v>
      </c>
      <c r="F76" s="199">
        <f>'N9 Debt'!F9</f>
        <v>-226.7650060981556</v>
      </c>
      <c r="G76" s="199">
        <f>'N9 Debt'!G9</f>
        <v>-225.33739801618748</v>
      </c>
      <c r="H76" s="199">
        <f>'N9 Debt'!H9</f>
        <v>76</v>
      </c>
      <c r="I76" s="199">
        <f>'N9 Debt'!I9</f>
        <v>51</v>
      </c>
      <c r="J76" s="199">
        <f>'N9 Debt'!J9</f>
        <v>55</v>
      </c>
      <c r="K76" s="199">
        <f>'N9 Debt'!K9</f>
        <v>31</v>
      </c>
      <c r="N76" s="267" t="s">
        <v>1135</v>
      </c>
      <c r="O76" s="237" t="s">
        <v>1136</v>
      </c>
    </row>
    <row r="77" spans="1:22" x14ac:dyDescent="0.25">
      <c r="A77" s="119">
        <f t="shared" ca="1" si="61"/>
        <v>5</v>
      </c>
      <c r="B77" s="147" t="s">
        <v>503</v>
      </c>
      <c r="C77" s="200">
        <f>'N9 Debt'!C12</f>
        <v>-46.099999999999909</v>
      </c>
      <c r="D77" s="200">
        <f>'N9 Debt'!D12</f>
        <v>-47.699999999999818</v>
      </c>
      <c r="E77" s="200">
        <f>'N9 Debt'!E12</f>
        <v>-49.300000000000182</v>
      </c>
      <c r="F77" s="200">
        <f>'N9 Debt'!F12</f>
        <v>-50.900000000000091</v>
      </c>
      <c r="G77" s="200">
        <f>'N9 Debt'!G12</f>
        <v>-52.5</v>
      </c>
      <c r="H77" s="200">
        <f>'N9 Debt'!H12</f>
        <v>-54</v>
      </c>
      <c r="I77" s="200">
        <f>'N9 Debt'!I12</f>
        <v>-56</v>
      </c>
      <c r="J77" s="159">
        <f>'N9 Debt'!J12</f>
        <v>-57</v>
      </c>
      <c r="K77" s="159">
        <f>'N9 Debt'!K12</f>
        <v>-59</v>
      </c>
      <c r="N77" s="267" t="s">
        <v>1020</v>
      </c>
      <c r="O77" s="237"/>
    </row>
    <row r="78" spans="1:22" x14ac:dyDescent="0.25">
      <c r="A78" s="119">
        <f t="shared" ca="1" si="61"/>
        <v>5</v>
      </c>
      <c r="B78" s="147" t="s">
        <v>504</v>
      </c>
      <c r="C78" s="199">
        <f>'N9 Debt'!C13</f>
        <v>-16.400000000001455</v>
      </c>
      <c r="D78" s="199">
        <f>'N9 Debt'!D13</f>
        <v>-5.7999999999992724</v>
      </c>
      <c r="E78" s="199">
        <f>'N9 Debt'!E13</f>
        <v>4.7999999999992724</v>
      </c>
      <c r="F78" s="199">
        <f>'N9 Debt'!F13</f>
        <v>15.400000000001455</v>
      </c>
      <c r="G78" s="199">
        <f>'N9 Debt'!G13</f>
        <v>26</v>
      </c>
      <c r="H78" s="199">
        <f>'N9 Debt'!H13</f>
        <v>35</v>
      </c>
      <c r="I78" s="199">
        <f>'N9 Debt'!I13</f>
        <v>47</v>
      </c>
      <c r="J78" s="159">
        <f>'N9 Debt'!J13</f>
        <v>63</v>
      </c>
      <c r="K78" s="159">
        <f>'N9 Debt'!K13</f>
        <v>65</v>
      </c>
      <c r="N78" s="267" t="s">
        <v>1020</v>
      </c>
      <c r="O78" s="237"/>
    </row>
    <row r="79" spans="1:22" x14ac:dyDescent="0.25">
      <c r="A79" s="119">
        <f t="shared" ca="1" si="61"/>
        <v>5</v>
      </c>
      <c r="B79" s="147" t="s">
        <v>505</v>
      </c>
      <c r="C79" s="199">
        <f>'N9 Debt'!C14</f>
        <v>209.68252277699003</v>
      </c>
      <c r="D79" s="199">
        <f>'N9 Debt'!D14</f>
        <v>187.84812329388188</v>
      </c>
      <c r="E79" s="199">
        <f>'N9 Debt'!E14</f>
        <v>168.28735632183904</v>
      </c>
      <c r="F79" s="199">
        <f>'N9 Debt'!F14</f>
        <v>150.76346679006724</v>
      </c>
      <c r="G79" s="199">
        <f>'N9 Debt'!G14</f>
        <v>135.06435311212999</v>
      </c>
      <c r="H79" s="199">
        <f>'N9 Debt'!H14</f>
        <v>121</v>
      </c>
      <c r="I79" s="199">
        <f>'N9 Debt'!I14</f>
        <v>88</v>
      </c>
      <c r="J79" s="159">
        <f>'N9 Debt'!J14</f>
        <v>81</v>
      </c>
      <c r="K79" s="159">
        <f>'N9 Debt'!K14</f>
        <v>87</v>
      </c>
      <c r="N79" s="267" t="s">
        <v>1043</v>
      </c>
      <c r="O79" s="237" t="s">
        <v>1134</v>
      </c>
    </row>
    <row r="80" spans="1:22" x14ac:dyDescent="0.25">
      <c r="A80" s="119">
        <f t="shared" ca="1" si="61"/>
        <v>4</v>
      </c>
      <c r="B80" s="163" t="s">
        <v>706</v>
      </c>
      <c r="C80" s="166">
        <f>-'N9 Debt'!C19</f>
        <v>-115.40000000000146</v>
      </c>
      <c r="D80" s="166">
        <f>-'N9 Debt'!D19</f>
        <v>-103.79999999999927</v>
      </c>
      <c r="E80" s="166">
        <f>-'N9 Debt'!E19</f>
        <v>-92.200000000000728</v>
      </c>
      <c r="F80" s="166">
        <f>-'N9 Debt'!F19</f>
        <v>-80.599999999998545</v>
      </c>
      <c r="G80" s="166">
        <f>-'N9 Debt'!G19</f>
        <v>-69</v>
      </c>
      <c r="H80" s="166">
        <f>-'N9 Debt'!H19</f>
        <v>-63</v>
      </c>
      <c r="I80" s="166">
        <f>-'N9 Debt'!I19</f>
        <v>-35</v>
      </c>
      <c r="J80" s="166">
        <f>-'N9 Debt'!J19</f>
        <v>-39</v>
      </c>
      <c r="K80" s="166">
        <f>-'N9 Debt'!K19</f>
        <v>-23</v>
      </c>
      <c r="N80" s="154" t="s">
        <v>1020</v>
      </c>
      <c r="O80" s="237"/>
    </row>
    <row r="81" spans="1:22" x14ac:dyDescent="0.25">
      <c r="A81" s="119">
        <f t="shared" ca="1" si="61"/>
        <v>3</v>
      </c>
      <c r="B81" s="123" t="s">
        <v>632</v>
      </c>
      <c r="C81" s="185">
        <f>-'N10 Pension'!B40</f>
        <v>165</v>
      </c>
      <c r="D81" s="185">
        <f>-'N10 Pension'!C40</f>
        <v>191</v>
      </c>
      <c r="E81" s="185">
        <f>-'N10 Pension'!D40</f>
        <v>217</v>
      </c>
      <c r="F81" s="185">
        <f>-'N10 Pension'!E40</f>
        <v>243</v>
      </c>
      <c r="G81" s="185">
        <f>-'N10 Pension'!F40</f>
        <v>269</v>
      </c>
      <c r="H81" s="185">
        <f>-'N10 Pension'!G40</f>
        <v>289</v>
      </c>
      <c r="I81" s="185">
        <f>-'N10 Pension'!H40</f>
        <v>329</v>
      </c>
      <c r="J81" s="185">
        <f>-'N10 Pension'!I40</f>
        <v>349</v>
      </c>
      <c r="K81" s="185">
        <f>-'N10 Pension'!J40</f>
        <v>369</v>
      </c>
      <c r="N81" s="101" t="s">
        <v>1020</v>
      </c>
      <c r="O81" s="237"/>
    </row>
    <row r="82" spans="1:22" x14ac:dyDescent="0.25">
      <c r="A82" s="119">
        <f t="shared" ca="1" si="61"/>
        <v>3</v>
      </c>
      <c r="B82" s="123" t="s">
        <v>430</v>
      </c>
      <c r="C82" s="185">
        <f>-'N10 Pension'!B26</f>
        <v>393.93936786813981</v>
      </c>
      <c r="D82" s="185">
        <f>-'N10 Pension'!C26</f>
        <v>382.18328805168136</v>
      </c>
      <c r="E82" s="185">
        <f>-'N10 Pension'!D26</f>
        <v>370.13452575016572</v>
      </c>
      <c r="F82" s="185">
        <f>-'N10 Pension'!E26</f>
        <v>357.79308096359347</v>
      </c>
      <c r="G82" s="185">
        <f>-'N10 Pension'!F26</f>
        <v>345.15895369196403</v>
      </c>
      <c r="H82" s="185">
        <f>-'N10 Pension'!G26</f>
        <v>330</v>
      </c>
      <c r="I82" s="185">
        <f>-'N10 Pension'!H26</f>
        <v>326</v>
      </c>
      <c r="J82" s="185">
        <f>-'N10 Pension'!I26</f>
        <v>298</v>
      </c>
      <c r="K82" s="185">
        <f>-'N10 Pension'!J26</f>
        <v>289</v>
      </c>
      <c r="N82" s="267" t="s">
        <v>1029</v>
      </c>
      <c r="O82" s="237" t="s">
        <v>1137</v>
      </c>
      <c r="P82" s="119"/>
      <c r="Q82" s="119"/>
      <c r="R82" s="119"/>
    </row>
    <row r="83" spans="1:22" x14ac:dyDescent="0.25">
      <c r="A83" s="119">
        <f t="shared" ca="1" si="61"/>
        <v>3</v>
      </c>
      <c r="B83" s="123" t="s">
        <v>633</v>
      </c>
      <c r="C83" s="185">
        <f t="shared" ref="C83:G83" si="64">SUBTOTAL(9,C84:C89)</f>
        <v>2195.1795454755706</v>
      </c>
      <c r="D83" s="185">
        <f t="shared" si="64"/>
        <v>2246.37767070883</v>
      </c>
      <c r="E83" s="185">
        <f t="shared" si="64"/>
        <v>2300.9051045061633</v>
      </c>
      <c r="F83" s="185">
        <f t="shared" si="64"/>
        <v>2356.9114387289765</v>
      </c>
      <c r="G83" s="185">
        <f t="shared" si="64"/>
        <v>2505.7416816048494</v>
      </c>
      <c r="H83" s="185">
        <f>SUBTOTAL(9,H84:H89)</f>
        <v>2027</v>
      </c>
      <c r="I83" s="185">
        <f>SUBTOTAL(9,I84:I89)</f>
        <v>1289</v>
      </c>
      <c r="J83" s="185">
        <f>SUBTOTAL(9,J84:J89)</f>
        <v>1358</v>
      </c>
      <c r="K83" s="185">
        <f>SUBTOTAL(9,K84:K89)</f>
        <v>1415</v>
      </c>
      <c r="L83" s="266"/>
      <c r="M83" s="266"/>
      <c r="N83" s="269"/>
      <c r="O83" s="119"/>
      <c r="P83" s="119"/>
      <c r="Q83" s="119"/>
      <c r="R83" s="119"/>
    </row>
    <row r="84" spans="1:22" x14ac:dyDescent="0.25">
      <c r="A84" s="119">
        <f t="shared" ca="1" si="61"/>
        <v>4</v>
      </c>
      <c r="B84" s="187" t="s">
        <v>831</v>
      </c>
      <c r="C84" s="100">
        <f t="shared" ref="C84:F85" si="65">$L84*C$1+$M84</f>
        <v>655</v>
      </c>
      <c r="D84" s="100">
        <f t="shared" si="65"/>
        <v>644.5</v>
      </c>
      <c r="E84" s="100">
        <f t="shared" si="65"/>
        <v>634</v>
      </c>
      <c r="F84" s="100">
        <f t="shared" si="65"/>
        <v>623.5</v>
      </c>
      <c r="G84" s="100">
        <f>$L84*G$1+$M84</f>
        <v>613</v>
      </c>
      <c r="H84" s="128">
        <v>604</v>
      </c>
      <c r="I84" s="128">
        <v>589</v>
      </c>
      <c r="J84" s="128">
        <v>583</v>
      </c>
      <c r="K84" s="128">
        <v>513</v>
      </c>
      <c r="L84" s="119">
        <f>SLOPE(H84:J84, $H$1:$J$1)</f>
        <v>10.5</v>
      </c>
      <c r="M84" s="119">
        <f>INTERCEPT(H84:J84,$H$1:$J$1)</f>
        <v>-20576</v>
      </c>
      <c r="N84" s="267" t="s">
        <v>1044</v>
      </c>
      <c r="O84" s="279" t="s">
        <v>1056</v>
      </c>
      <c r="P84" s="119"/>
      <c r="Q84" s="119"/>
      <c r="R84" s="119"/>
    </row>
    <row r="85" spans="1:22" x14ac:dyDescent="0.25">
      <c r="A85" s="119">
        <f t="shared" ca="1" si="61"/>
        <v>4</v>
      </c>
      <c r="B85" s="187" t="s">
        <v>832</v>
      </c>
      <c r="C85" s="100">
        <f t="shared" si="65"/>
        <v>666.39999999999418</v>
      </c>
      <c r="D85" s="100">
        <f t="shared" si="65"/>
        <v>619.30000000000291</v>
      </c>
      <c r="E85" s="100">
        <f t="shared" si="65"/>
        <v>572.19999999999709</v>
      </c>
      <c r="F85" s="100">
        <f t="shared" si="65"/>
        <v>525.10000000000582</v>
      </c>
      <c r="G85" s="100">
        <f>$L85*G$1+$M85</f>
        <v>478</v>
      </c>
      <c r="H85" s="128">
        <v>466</v>
      </c>
      <c r="I85" s="128">
        <v>336</v>
      </c>
      <c r="J85" s="128">
        <v>327</v>
      </c>
      <c r="K85" s="128">
        <v>312</v>
      </c>
      <c r="L85" s="119">
        <f>SLOPE(H85:K85, $H$1:$K$1)</f>
        <v>47.1</v>
      </c>
      <c r="M85" s="264">
        <f>INTERCEPT(H85:K85,$H$1:$K$1)</f>
        <v>-94569.8</v>
      </c>
      <c r="N85" s="267" t="s">
        <v>1020</v>
      </c>
      <c r="O85" s="119"/>
      <c r="P85" s="119"/>
      <c r="Q85" s="119"/>
      <c r="R85" s="119"/>
    </row>
    <row r="86" spans="1:22" x14ac:dyDescent="0.25">
      <c r="A86" s="119">
        <f t="shared" ca="1" si="61"/>
        <v>4</v>
      </c>
      <c r="B86" s="187" t="s">
        <v>833</v>
      </c>
      <c r="C86" s="195">
        <f>'N2 Income Tax'!B22</f>
        <v>3.2861135754430117</v>
      </c>
      <c r="D86" s="195">
        <f>'N2 Income Tax'!C22</f>
        <v>89.815008453084019</v>
      </c>
      <c r="E86" s="195">
        <f>'N2 Income Tax'!D22</f>
        <v>176.36306256014836</v>
      </c>
      <c r="F86" s="195">
        <f>'N2 Income Tax'!E22</f>
        <v>262.91962732100177</v>
      </c>
      <c r="G86" s="195">
        <f>'N2 Income Tax'!F22</f>
        <v>350.01036743016658</v>
      </c>
      <c r="H86" s="128">
        <v>391</v>
      </c>
      <c r="I86" s="128">
        <v>76</v>
      </c>
      <c r="J86" s="128"/>
      <c r="K86" s="128"/>
      <c r="N86" s="267" t="s">
        <v>1029</v>
      </c>
      <c r="O86" s="267" t="s">
        <v>1138</v>
      </c>
      <c r="P86" s="119"/>
      <c r="Q86" s="119"/>
      <c r="R86" s="119"/>
    </row>
    <row r="87" spans="1:22" x14ac:dyDescent="0.25">
      <c r="A87" s="119">
        <f t="shared" ca="1" si="61"/>
        <v>4</v>
      </c>
      <c r="B87" s="187" t="s">
        <v>834</v>
      </c>
      <c r="C87" s="195">
        <f>'N2 Income Tax'!B17-$L$87</f>
        <v>467.74343190013337</v>
      </c>
      <c r="D87" s="195">
        <f>'N2 Income Tax'!C17-$L$87</f>
        <v>490.01266225574307</v>
      </c>
      <c r="E87" s="195">
        <f>'N2 Income Tax'!D17-$L$87</f>
        <v>515.59204194601762</v>
      </c>
      <c r="F87" s="195">
        <f>'N2 Income Tax'!E17-$L$87</f>
        <v>542.64181140796882</v>
      </c>
      <c r="G87" s="195">
        <f>'N2 Income Tax'!F17-$L$87</f>
        <v>661.98131417468289</v>
      </c>
      <c r="H87" s="128">
        <v>281</v>
      </c>
      <c r="I87" s="128">
        <v>0</v>
      </c>
      <c r="J87" s="128"/>
      <c r="K87" s="128"/>
      <c r="L87" s="119">
        <v>100</v>
      </c>
      <c r="N87" s="267" t="s">
        <v>1037</v>
      </c>
      <c r="O87" s="267" t="s">
        <v>1075</v>
      </c>
      <c r="P87" s="119"/>
      <c r="Q87" s="119"/>
      <c r="R87" s="119"/>
    </row>
    <row r="88" spans="1:22" x14ac:dyDescent="0.25">
      <c r="A88" s="119">
        <f t="shared" ca="1" si="61"/>
        <v>4</v>
      </c>
      <c r="B88" s="187" t="s">
        <v>835</v>
      </c>
      <c r="C88" s="195">
        <f t="shared" ref="C88:F89" si="66">$L88</f>
        <v>179</v>
      </c>
      <c r="D88" s="195">
        <f t="shared" si="66"/>
        <v>179</v>
      </c>
      <c r="E88" s="195">
        <f t="shared" si="66"/>
        <v>179</v>
      </c>
      <c r="F88" s="195">
        <f t="shared" si="66"/>
        <v>179</v>
      </c>
      <c r="G88" s="195">
        <f>$L88</f>
        <v>179</v>
      </c>
      <c r="H88" s="128">
        <v>151</v>
      </c>
      <c r="I88" s="128">
        <v>151</v>
      </c>
      <c r="J88" s="128">
        <v>199</v>
      </c>
      <c r="K88" s="128">
        <v>215</v>
      </c>
      <c r="L88" s="266">
        <f>AVERAGE($H88:$K88)</f>
        <v>179</v>
      </c>
      <c r="M88" s="266"/>
      <c r="N88" s="267" t="s">
        <v>1016</v>
      </c>
      <c r="O88" s="119"/>
      <c r="P88" s="119"/>
      <c r="Q88" s="119"/>
      <c r="R88" s="119"/>
    </row>
    <row r="89" spans="1:22" x14ac:dyDescent="0.25">
      <c r="A89" s="119">
        <f t="shared" ca="1" si="61"/>
        <v>4</v>
      </c>
      <c r="B89" s="187" t="s">
        <v>836</v>
      </c>
      <c r="C89" s="195">
        <f t="shared" si="66"/>
        <v>223.75</v>
      </c>
      <c r="D89" s="195">
        <f t="shared" si="66"/>
        <v>223.75</v>
      </c>
      <c r="E89" s="195">
        <f t="shared" si="66"/>
        <v>223.75</v>
      </c>
      <c r="F89" s="195">
        <f t="shared" si="66"/>
        <v>223.75</v>
      </c>
      <c r="G89" s="195">
        <f>$L89</f>
        <v>223.75</v>
      </c>
      <c r="H89" s="128">
        <v>134</v>
      </c>
      <c r="I89" s="128">
        <v>137</v>
      </c>
      <c r="J89" s="128">
        <v>249</v>
      </c>
      <c r="K89" s="128">
        <v>375</v>
      </c>
      <c r="L89" s="266">
        <f>AVERAGE($H89:$K89)</f>
        <v>223.75</v>
      </c>
      <c r="M89" s="266"/>
      <c r="N89" s="267" t="s">
        <v>1016</v>
      </c>
      <c r="O89" s="267" t="s">
        <v>1064</v>
      </c>
      <c r="P89" s="119"/>
      <c r="Q89" s="119"/>
      <c r="R89" s="119"/>
    </row>
    <row r="90" spans="1:22" x14ac:dyDescent="0.25">
      <c r="B90" s="120" t="s">
        <v>282</v>
      </c>
      <c r="C90" s="89"/>
      <c r="D90" s="89"/>
      <c r="E90" s="89"/>
      <c r="F90" s="89"/>
      <c r="G90" s="195"/>
      <c r="H90" s="102"/>
      <c r="I90" s="102"/>
      <c r="J90" s="188"/>
      <c r="K90" s="102"/>
      <c r="O90" s="119"/>
      <c r="P90" s="119"/>
      <c r="Q90" s="119"/>
      <c r="R90" s="119"/>
    </row>
    <row r="91" spans="1:22" x14ac:dyDescent="0.25">
      <c r="A91" s="119">
        <f t="shared" ref="A91" ca="1" si="67">IndentLevel(B91)</f>
        <v>1</v>
      </c>
      <c r="B91" s="120" t="s">
        <v>431</v>
      </c>
      <c r="C91" s="89"/>
      <c r="D91" s="89"/>
      <c r="E91" s="89"/>
      <c r="F91" s="89"/>
      <c r="G91" s="195"/>
      <c r="H91" s="102"/>
      <c r="I91" s="102"/>
      <c r="J91" s="188"/>
      <c r="K91" s="102"/>
    </row>
    <row r="92" spans="1:22" x14ac:dyDescent="0.25">
      <c r="B92" s="120"/>
      <c r="C92" s="89"/>
      <c r="D92" s="89"/>
      <c r="E92" s="89"/>
      <c r="F92" s="89"/>
      <c r="G92" s="195"/>
      <c r="H92" s="102"/>
      <c r="I92" s="102"/>
      <c r="J92" s="188"/>
      <c r="K92" s="102"/>
    </row>
    <row r="93" spans="1:22" x14ac:dyDescent="0.25">
      <c r="B93" s="120" t="s">
        <v>1074</v>
      </c>
      <c r="C93" s="273">
        <f>C56/C2</f>
        <v>0.57978788835123796</v>
      </c>
      <c r="D93" s="273">
        <f t="shared" ref="D93:J93" si="68">D56/D2</f>
        <v>0.57412410112881884</v>
      </c>
      <c r="E93" s="273">
        <f t="shared" si="68"/>
        <v>0.56959461689146751</v>
      </c>
      <c r="F93" s="273">
        <f t="shared" si="68"/>
        <v>0.56804124117147548</v>
      </c>
      <c r="G93" s="273">
        <f t="shared" si="68"/>
        <v>0.56856153410787924</v>
      </c>
      <c r="H93" s="273">
        <f t="shared" si="68"/>
        <v>0.54832641770401103</v>
      </c>
      <c r="I93" s="273">
        <f t="shared" si="68"/>
        <v>0.52208380520951303</v>
      </c>
      <c r="J93" s="273">
        <f t="shared" si="68"/>
        <v>0.48790802167305403</v>
      </c>
      <c r="K93" s="273">
        <f>K56/K2</f>
        <v>0.48661507231667089</v>
      </c>
    </row>
    <row r="94" spans="1:22" x14ac:dyDescent="0.25">
      <c r="B94" s="125" t="s">
        <v>282</v>
      </c>
      <c r="C94" s="297"/>
      <c r="D94" s="297"/>
      <c r="E94" s="297"/>
      <c r="F94" s="297"/>
      <c r="G94" s="297"/>
      <c r="H94" s="297"/>
      <c r="I94" s="297"/>
      <c r="J94" s="297"/>
      <c r="K94" s="297"/>
      <c r="O94" s="103"/>
      <c r="P94" s="103"/>
      <c r="Q94" s="103"/>
      <c r="R94" s="201"/>
      <c r="S94" s="201"/>
      <c r="T94" s="137"/>
      <c r="U94" s="154"/>
      <c r="V94" s="154"/>
    </row>
    <row r="95" spans="1:22" x14ac:dyDescent="0.25">
      <c r="A95" s="119">
        <f t="shared" ref="A95:A103" ca="1" si="69">IndentLevel(B95)</f>
        <v>0</v>
      </c>
      <c r="B95" s="140" t="s">
        <v>432</v>
      </c>
      <c r="C95" s="189">
        <f t="shared" ref="C95:G95" si="70">SUBTOTAL(9,C96:C103)</f>
        <v>9575.5451404135183</v>
      </c>
      <c r="D95" s="189">
        <f t="shared" si="70"/>
        <v>9296.8196846661303</v>
      </c>
      <c r="E95" s="189">
        <f t="shared" si="70"/>
        <v>9001.899950881023</v>
      </c>
      <c r="F95" s="189">
        <f t="shared" si="70"/>
        <v>8386.0030524967679</v>
      </c>
      <c r="G95" s="189">
        <f t="shared" si="70"/>
        <v>8009.3085344005485</v>
      </c>
      <c r="H95" s="189">
        <f>SUBTOTAL(9,H96:H103)</f>
        <v>8164</v>
      </c>
      <c r="I95" s="189">
        <f>SUBTOTAL(9,I96:I103)</f>
        <v>7174</v>
      </c>
      <c r="J95" s="189">
        <f>SUBTOTAL(9,J96:J103)</f>
        <v>7750</v>
      </c>
      <c r="K95" s="189">
        <f>SUBTOTAL(9,K96:K103)</f>
        <v>8093</v>
      </c>
    </row>
    <row r="96" spans="1:22" x14ac:dyDescent="0.25">
      <c r="A96" s="119">
        <f t="shared" ca="1" si="69"/>
        <v>1</v>
      </c>
      <c r="B96" s="120" t="s">
        <v>718</v>
      </c>
      <c r="C96" s="185">
        <f t="shared" ref="C96:G96" si="71">SUBTOTAL(9,C97:C101)</f>
        <v>8469.8391902862768</v>
      </c>
      <c r="D96" s="185">
        <f t="shared" si="71"/>
        <v>8249.2555789175567</v>
      </c>
      <c r="E96" s="185">
        <f t="shared" si="71"/>
        <v>8002.7953689419719</v>
      </c>
      <c r="F96" s="185">
        <f t="shared" si="71"/>
        <v>7426.311643086714</v>
      </c>
      <c r="G96" s="185">
        <f t="shared" si="71"/>
        <v>7080.7094431140949</v>
      </c>
      <c r="H96" s="185">
        <f>SUBTOTAL(9,H97:H101)</f>
        <v>7259</v>
      </c>
      <c r="I96" s="185">
        <f>SUBTOTAL(9,I97:I101)</f>
        <v>6875</v>
      </c>
      <c r="J96" s="185">
        <f>SUBTOTAL(9,J97:J101)</f>
        <v>7406</v>
      </c>
      <c r="K96" s="185">
        <f>SUBTOTAL(9,K97:K101)</f>
        <v>7749</v>
      </c>
    </row>
    <row r="97" spans="1:22" x14ac:dyDescent="0.25">
      <c r="A97" s="119">
        <f t="shared" ca="1" si="69"/>
        <v>2</v>
      </c>
      <c r="B97" s="121" t="s">
        <v>638</v>
      </c>
      <c r="C97" s="190">
        <f>'Equity (Y)'!C56+'Equity (Y)'!C57</f>
        <v>2266.3305879068012</v>
      </c>
      <c r="D97" s="190">
        <f>'Equity (Y)'!D56+'Equity (Y)'!D57</f>
        <v>2263.6291344963638</v>
      </c>
      <c r="E97" s="190">
        <f>'Equity (Y)'!E56+'Equity (Y)'!E57</f>
        <v>2268.088220438136</v>
      </c>
      <c r="F97" s="190">
        <f>'Equity (Y)'!F56+'Equity (Y)'!F57</f>
        <v>1977.9479421044859</v>
      </c>
      <c r="G97" s="190">
        <f>'Equity (Y)'!G56+'Equity (Y)'!G57</f>
        <v>1954.0572079522378</v>
      </c>
      <c r="H97" s="190">
        <f>'Equity (Y)'!H56+'Equity (Y)'!H57</f>
        <v>2210</v>
      </c>
      <c r="I97" s="190">
        <f>'Equity (Y)'!I56+'Equity (Y)'!I57</f>
        <v>2153</v>
      </c>
      <c r="J97" s="190">
        <f>'Equity (Y)'!J56+'Equity (Y)'!J57</f>
        <v>2178</v>
      </c>
      <c r="K97" s="190">
        <f>'Equity (Y)'!K56+'Equity (Y)'!K57</f>
        <v>2139</v>
      </c>
      <c r="L97" s="265">
        <f>(H97/K97)^(1/3)</f>
        <v>1.0109441489537061</v>
      </c>
      <c r="M97" s="265"/>
      <c r="N97" s="267" t="s">
        <v>1012</v>
      </c>
      <c r="O97" s="202"/>
    </row>
    <row r="98" spans="1:22" x14ac:dyDescent="0.25">
      <c r="A98" s="119">
        <f t="shared" ca="1" si="69"/>
        <v>2</v>
      </c>
      <c r="B98" s="121" t="s">
        <v>433</v>
      </c>
      <c r="C98" s="185">
        <f>'Equity (Y)'!C58</f>
        <v>16635.425269046133</v>
      </c>
      <c r="D98" s="185">
        <f>'Equity (Y)'!D58</f>
        <v>15683.193111087841</v>
      </c>
      <c r="E98" s="185">
        <f>'Equity (Y)'!E58</f>
        <v>14684.923815170479</v>
      </c>
      <c r="F98" s="185">
        <f>'Equity (Y)'!F58</f>
        <v>13638.230367648861</v>
      </c>
      <c r="G98" s="185">
        <f>'Equity (Y)'!G58</f>
        <v>12543.168901828487</v>
      </c>
      <c r="H98" s="185">
        <f>'Equity (Y)'!H58</f>
        <v>11464</v>
      </c>
      <c r="I98" s="185">
        <f>'Equity (Y)'!I58</f>
        <v>11040</v>
      </c>
      <c r="J98" s="185">
        <f>'Equity (Y)'!J58</f>
        <v>10322</v>
      </c>
      <c r="K98" s="185">
        <f>'Equity (Y)'!K58</f>
        <v>9545</v>
      </c>
      <c r="O98" s="4" t="s">
        <v>1058</v>
      </c>
    </row>
    <row r="99" spans="1:22" x14ac:dyDescent="0.25">
      <c r="A99" s="119">
        <f t="shared" ca="1" si="69"/>
        <v>2</v>
      </c>
      <c r="B99" s="121" t="s">
        <v>434</v>
      </c>
      <c r="C99" s="195">
        <f>'Equity (Y)'!C59</f>
        <v>-7715</v>
      </c>
      <c r="D99" s="195">
        <f>'Equity (Y)'!D59</f>
        <v>-7179</v>
      </c>
      <c r="E99" s="195">
        <f>'Equity (Y)'!E59</f>
        <v>-6630</v>
      </c>
      <c r="F99" s="195">
        <f>'Equity (Y)'!F59</f>
        <v>-6068</v>
      </c>
      <c r="G99" s="195">
        <f>'Equity (Y)'!G59</f>
        <v>-5493</v>
      </c>
      <c r="H99" s="195">
        <f>'Equity (Y)'!H59</f>
        <v>-4905</v>
      </c>
      <c r="I99" s="195">
        <f>'Equity (Y)'!I59</f>
        <v>-4489</v>
      </c>
      <c r="J99" s="195">
        <f>'Equity (Y)'!J59</f>
        <v>-3735</v>
      </c>
      <c r="K99" s="195">
        <f>'Equity (Y)'!K59</f>
        <v>-2844</v>
      </c>
      <c r="O99" s="4" t="s">
        <v>1058</v>
      </c>
    </row>
    <row r="100" spans="1:22" x14ac:dyDescent="0.25">
      <c r="A100" s="119">
        <f t="shared" ca="1" si="69"/>
        <v>2</v>
      </c>
      <c r="B100" s="121" t="s">
        <v>1060</v>
      </c>
      <c r="C100" s="262">
        <f>'Equity (Y)'!C60</f>
        <v>4.25</v>
      </c>
      <c r="D100" s="262">
        <f>'Equity (Y)'!D60</f>
        <v>2</v>
      </c>
      <c r="E100" s="262">
        <f>'Equity (Y)'!E60</f>
        <v>-0.25</v>
      </c>
      <c r="F100" s="262">
        <f>'Equity (Y)'!F60</f>
        <v>-2.5</v>
      </c>
      <c r="G100" s="262">
        <f>'Equity (Y)'!G60</f>
        <v>-4.75</v>
      </c>
      <c r="H100" s="262">
        <f>'Equity (Y)'!H60</f>
        <v>-7</v>
      </c>
      <c r="I100" s="262">
        <f>'Equity (Y)'!I60</f>
        <v>-8</v>
      </c>
      <c r="J100" s="262">
        <f>'Equity (Y)'!J60</f>
        <v>-11</v>
      </c>
      <c r="K100" s="262">
        <f>'Equity (Y)'!K60</f>
        <v>-13</v>
      </c>
    </row>
    <row r="101" spans="1:22" x14ac:dyDescent="0.25">
      <c r="A101" s="119">
        <f t="shared" ca="1" si="69"/>
        <v>2</v>
      </c>
      <c r="B101" s="121" t="s">
        <v>634</v>
      </c>
      <c r="C101" s="195">
        <f>'Equity (Y)'!C61</f>
        <v>-2721.1666666666588</v>
      </c>
      <c r="D101" s="195">
        <f>'Equity (Y)'!D61</f>
        <v>-2520.5666666666475</v>
      </c>
      <c r="E101" s="195">
        <f>'Equity (Y)'!E61</f>
        <v>-2319.9666666666435</v>
      </c>
      <c r="F101" s="195">
        <f>'Equity (Y)'!F61</f>
        <v>-2119.3666666666327</v>
      </c>
      <c r="G101" s="195">
        <f>'Equity (Y)'!G61</f>
        <v>-1918.7666666666289</v>
      </c>
      <c r="H101" s="195">
        <f>'Equity (Y)'!H61</f>
        <v>-1503</v>
      </c>
      <c r="I101" s="195">
        <f>'Equity (Y)'!I61</f>
        <v>-1821</v>
      </c>
      <c r="J101" s="195">
        <f>'Equity (Y)'!J61</f>
        <v>-1348</v>
      </c>
      <c r="K101" s="195">
        <f>'Equity (Y)'!K61</f>
        <v>-1078</v>
      </c>
      <c r="O101" s="4" t="s">
        <v>1059</v>
      </c>
    </row>
    <row r="102" spans="1:22" x14ac:dyDescent="0.25">
      <c r="A102" s="119">
        <f t="shared" ca="1" si="69"/>
        <v>5</v>
      </c>
      <c r="B102" s="149"/>
      <c r="C102" s="94"/>
      <c r="D102" s="94"/>
      <c r="E102" s="94"/>
      <c r="F102" s="94"/>
      <c r="G102" s="133"/>
      <c r="H102" s="197"/>
      <c r="I102" s="197"/>
      <c r="J102" s="197"/>
      <c r="K102" s="197"/>
    </row>
    <row r="103" spans="1:22" x14ac:dyDescent="0.25">
      <c r="A103" s="119">
        <f t="shared" ca="1" si="69"/>
        <v>1</v>
      </c>
      <c r="B103" s="120" t="s">
        <v>435</v>
      </c>
      <c r="C103" s="185">
        <f>'Equity (Y)'!C62</f>
        <v>1105.705950127242</v>
      </c>
      <c r="D103" s="185">
        <f>'Equity (Y)'!D62</f>
        <v>1047.5641057485745</v>
      </c>
      <c r="E103" s="185">
        <f>'Equity (Y)'!E62</f>
        <v>999.10458193905129</v>
      </c>
      <c r="F103" s="185">
        <f>'Equity (Y)'!F62</f>
        <v>959.69140941005389</v>
      </c>
      <c r="G103" s="185">
        <f>'Equity (Y)'!G62</f>
        <v>928.59909128645313</v>
      </c>
      <c r="H103" s="185">
        <f>'Equity (Y)'!H62</f>
        <v>905</v>
      </c>
      <c r="I103" s="185">
        <f>'Equity (Y)'!J38</f>
        <v>299</v>
      </c>
      <c r="J103" s="185">
        <f>'Equity (Y)'!J26</f>
        <v>344</v>
      </c>
      <c r="K103" s="185">
        <f>'Equity (Y)'!J14</f>
        <v>344</v>
      </c>
    </row>
    <row r="104" spans="1:22" x14ac:dyDescent="0.25">
      <c r="B104" s="122"/>
      <c r="C104" s="93"/>
      <c r="D104" s="93"/>
      <c r="E104" s="93"/>
      <c r="F104" s="93"/>
      <c r="G104" s="93"/>
      <c r="H104" s="197"/>
      <c r="I104" s="197"/>
      <c r="J104" s="194"/>
      <c r="K104" s="194"/>
    </row>
    <row r="106" spans="1:22" x14ac:dyDescent="0.25">
      <c r="B106" s="140" t="s">
        <v>640</v>
      </c>
      <c r="C106" s="189">
        <f t="shared" ref="C106:G106" si="72">C95+C56</f>
        <v>22787.408727564994</v>
      </c>
      <c r="D106" s="189">
        <f t="shared" si="72"/>
        <v>21829.87980608462</v>
      </c>
      <c r="E106" s="189">
        <f t="shared" si="72"/>
        <v>20914.933465437323</v>
      </c>
      <c r="F106" s="189">
        <f t="shared" si="72"/>
        <v>19413.897463821944</v>
      </c>
      <c r="G106" s="189">
        <f t="shared" si="72"/>
        <v>18564.196675971034</v>
      </c>
      <c r="H106" s="189">
        <f>H95+H56</f>
        <v>18075</v>
      </c>
      <c r="I106" s="189">
        <f>I95+I56</f>
        <v>15011</v>
      </c>
      <c r="J106" s="189">
        <f>J95+J56</f>
        <v>15134</v>
      </c>
      <c r="K106" s="189">
        <f>K95+K56</f>
        <v>15764</v>
      </c>
      <c r="L106" s="204"/>
      <c r="M106" s="204"/>
      <c r="N106" s="268"/>
    </row>
    <row r="107" spans="1:22" x14ac:dyDescent="0.25">
      <c r="B107" s="125" t="s">
        <v>1061</v>
      </c>
      <c r="C107" s="248">
        <f>C2</f>
        <v>22787.408727564994</v>
      </c>
      <c r="D107" s="248">
        <f t="shared" ref="D107:K107" si="73">D2</f>
        <v>21829.879806084624</v>
      </c>
      <c r="E107" s="248">
        <f t="shared" si="73"/>
        <v>20914.93346543732</v>
      </c>
      <c r="F107" s="248">
        <f t="shared" si="73"/>
        <v>19413.897463821948</v>
      </c>
      <c r="G107" s="248">
        <f t="shared" si="73"/>
        <v>18564.196675971038</v>
      </c>
      <c r="H107" s="248">
        <f t="shared" si="73"/>
        <v>18075</v>
      </c>
      <c r="I107" s="248">
        <f t="shared" si="73"/>
        <v>15011</v>
      </c>
      <c r="J107" s="248">
        <f t="shared" si="73"/>
        <v>15134</v>
      </c>
      <c r="K107" s="248">
        <f t="shared" si="73"/>
        <v>15764</v>
      </c>
      <c r="S107" s="6"/>
      <c r="T107" s="6"/>
      <c r="U107" s="6"/>
      <c r="V107" s="6"/>
    </row>
    <row r="108" spans="1:22" x14ac:dyDescent="0.25">
      <c r="B108" s="98" t="s">
        <v>1115</v>
      </c>
      <c r="C108" s="248">
        <f>C107-C106</f>
        <v>0</v>
      </c>
      <c r="D108" s="248">
        <f t="shared" ref="D108:K108" si="74">D107-D106</f>
        <v>0</v>
      </c>
      <c r="E108" s="248">
        <f t="shared" si="74"/>
        <v>0</v>
      </c>
      <c r="F108" s="248">
        <f t="shared" si="74"/>
        <v>0</v>
      </c>
      <c r="G108" s="248">
        <f t="shared" si="74"/>
        <v>0</v>
      </c>
      <c r="H108" s="248">
        <f t="shared" si="74"/>
        <v>0</v>
      </c>
      <c r="I108" s="248">
        <f t="shared" si="74"/>
        <v>0</v>
      </c>
      <c r="J108" s="248">
        <f t="shared" si="74"/>
        <v>0</v>
      </c>
      <c r="K108" s="248">
        <f t="shared" si="74"/>
        <v>0</v>
      </c>
      <c r="N108" s="267" t="s">
        <v>1062</v>
      </c>
    </row>
    <row r="109" spans="1:22" x14ac:dyDescent="0.25">
      <c r="E109" s="286"/>
    </row>
    <row r="110" spans="1:22" x14ac:dyDescent="0.25">
      <c r="B110" s="168"/>
      <c r="C110" s="115"/>
      <c r="D110" s="115"/>
      <c r="E110" s="115"/>
      <c r="F110" s="115"/>
      <c r="G110" s="115"/>
      <c r="J110" s="115"/>
      <c r="K110" s="115"/>
      <c r="N110" s="4"/>
    </row>
    <row r="113" spans="2:11" x14ac:dyDescent="0.25">
      <c r="B113" s="120" t="s">
        <v>718</v>
      </c>
      <c r="C113" s="172">
        <f t="shared" ref="C113:K113" si="75">C114+SUM(C98:C101)</f>
        <v>9575.5451404135183</v>
      </c>
      <c r="D113" s="172">
        <f t="shared" si="75"/>
        <v>9296.8196846661358</v>
      </c>
      <c r="E113" s="172">
        <f t="shared" si="75"/>
        <v>9001.8999508810157</v>
      </c>
      <c r="F113" s="172">
        <f t="shared" si="75"/>
        <v>8386.0030524967715</v>
      </c>
      <c r="G113" s="172">
        <f t="shared" si="75"/>
        <v>8009.3085344005531</v>
      </c>
      <c r="H113" s="172">
        <f t="shared" si="75"/>
        <v>8164</v>
      </c>
      <c r="I113" s="172">
        <f t="shared" si="75"/>
        <v>7174</v>
      </c>
      <c r="J113" s="172">
        <f t="shared" si="75"/>
        <v>7750</v>
      </c>
      <c r="K113" s="172">
        <f t="shared" si="75"/>
        <v>8093</v>
      </c>
    </row>
    <row r="114" spans="2:11" x14ac:dyDescent="0.25">
      <c r="B114" s="125" t="s">
        <v>638</v>
      </c>
      <c r="C114" s="284">
        <f t="shared" ref="C114:K114" si="76">C2-(C56+C98+C99+C100+C101)</f>
        <v>3372.0365380340445</v>
      </c>
      <c r="D114" s="284">
        <f t="shared" si="76"/>
        <v>3311.193240244942</v>
      </c>
      <c r="E114" s="284">
        <f t="shared" si="76"/>
        <v>3267.1928023771798</v>
      </c>
      <c r="F114" s="284">
        <f t="shared" si="76"/>
        <v>2937.6393515145428</v>
      </c>
      <c r="G114" s="284">
        <f t="shared" si="76"/>
        <v>2882.6562992386953</v>
      </c>
      <c r="H114" s="284">
        <f t="shared" si="76"/>
        <v>3115</v>
      </c>
      <c r="I114" s="284">
        <f t="shared" si="76"/>
        <v>2452</v>
      </c>
      <c r="J114" s="284">
        <f t="shared" si="76"/>
        <v>2522</v>
      </c>
      <c r="K114" s="284">
        <f t="shared" si="76"/>
        <v>2483</v>
      </c>
    </row>
    <row r="118" spans="2:11" x14ac:dyDescent="0.25">
      <c r="B118" s="171" t="s">
        <v>478</v>
      </c>
      <c r="C118" s="4"/>
      <c r="D118" s="4"/>
      <c r="E118" s="4"/>
      <c r="F118" s="4"/>
    </row>
    <row r="119" spans="2:11" x14ac:dyDescent="0.25">
      <c r="B119" s="4" t="s">
        <v>282</v>
      </c>
      <c r="C119" s="4"/>
      <c r="D119" s="4" t="s">
        <v>298</v>
      </c>
      <c r="E119" s="4"/>
      <c r="F119" s="4"/>
    </row>
    <row r="120" spans="2:11" x14ac:dyDescent="0.25">
      <c r="B120" s="4" t="s">
        <v>295</v>
      </c>
      <c r="C120" s="4"/>
      <c r="D120" s="4">
        <v>2017</v>
      </c>
      <c r="E120" s="4">
        <v>2016</v>
      </c>
      <c r="F120" s="4">
        <v>2015</v>
      </c>
    </row>
    <row r="121" spans="2:11" x14ac:dyDescent="0.25">
      <c r="B121" s="4" t="s">
        <v>476</v>
      </c>
      <c r="C121" s="4"/>
      <c r="D121" s="4">
        <v>622</v>
      </c>
      <c r="E121" s="4">
        <v>430</v>
      </c>
      <c r="F121" s="4">
        <v>732</v>
      </c>
    </row>
    <row r="122" spans="2:11" x14ac:dyDescent="0.25">
      <c r="B122" s="4" t="s">
        <v>477</v>
      </c>
      <c r="C122" s="4"/>
      <c r="D122" s="4">
        <v>82</v>
      </c>
      <c r="E122" s="4">
        <v>68</v>
      </c>
      <c r="F122" s="4">
        <v>65</v>
      </c>
    </row>
    <row r="123" spans="2:11" x14ac:dyDescent="0.25">
      <c r="B123" s="4"/>
      <c r="C123" s="4"/>
      <c r="D123" s="4"/>
      <c r="E123" s="4"/>
      <c r="F123" s="4"/>
    </row>
    <row r="126" spans="2:11" x14ac:dyDescent="0.25">
      <c r="B126" s="282">
        <v>165683334</v>
      </c>
    </row>
    <row r="127" spans="2:11" x14ac:dyDescent="0.25">
      <c r="B127" s="283">
        <f>2.5*B126</f>
        <v>414208335</v>
      </c>
    </row>
  </sheetData>
  <printOptions headings="1"/>
  <pageMargins left="0.7" right="0.7" top="0.75" bottom="0.75" header="0.3" footer="0.3"/>
  <pageSetup pageOrder="overThenDown" orientation="portrait" r:id="rId1"/>
  <headerFooter>
    <oddHeader>&amp;R</oddHeader>
    <oddFooter>&amp;R</oddFooter>
    <evenHeader>&amp;R</evenHeader>
    <evenFooter>&amp;R</even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9122E-24DF-4AEF-AAC5-40ABA24469A1}">
  <sheetPr codeName="Sheet9">
    <tabColor theme="8" tint="-0.249977111117893"/>
  </sheetPr>
  <dimension ref="A1:W90"/>
  <sheetViews>
    <sheetView zoomScale="90" zoomScaleNormal="90" workbookViewId="0">
      <pane ySplit="1" topLeftCell="A2" activePane="bottomLeft" state="frozen"/>
      <selection pane="bottomLeft" activeCell="H10" sqref="H10"/>
    </sheetView>
  </sheetViews>
  <sheetFormatPr defaultColWidth="8.85546875" defaultRowHeight="15" x14ac:dyDescent="0.25"/>
  <cols>
    <col min="1" max="1" width="6.42578125" style="97" bestFit="1" customWidth="1"/>
    <col min="2" max="2" width="40.42578125" style="95" customWidth="1"/>
    <col min="3" max="7" width="9.85546875" style="95" customWidth="1"/>
    <col min="8" max="8" width="10" style="96" bestFit="1" customWidth="1"/>
    <col min="9" max="9" width="8.85546875" style="96"/>
    <col min="10" max="10" width="8.85546875" style="97"/>
    <col min="11" max="12" width="8.85546875" style="201"/>
    <col min="13" max="15" width="8.85546875" style="97"/>
    <col min="16" max="16" width="36.85546875" style="97" bestFit="1" customWidth="1"/>
    <col min="21" max="16384" width="8.85546875" style="97"/>
  </cols>
  <sheetData>
    <row r="1" spans="1:22" x14ac:dyDescent="0.25">
      <c r="A1" s="119" t="s">
        <v>1222</v>
      </c>
      <c r="B1" s="90" t="s">
        <v>295</v>
      </c>
      <c r="C1" s="468">
        <v>2022</v>
      </c>
      <c r="D1" s="468">
        <v>2021</v>
      </c>
      <c r="E1" s="468">
        <v>2020</v>
      </c>
      <c r="F1" s="468">
        <v>2019</v>
      </c>
      <c r="G1" s="468">
        <v>2018</v>
      </c>
      <c r="H1" s="468">
        <v>2017</v>
      </c>
      <c r="I1" s="468">
        <v>2016</v>
      </c>
      <c r="J1" s="468">
        <v>2015</v>
      </c>
      <c r="K1" s="469">
        <v>2014</v>
      </c>
      <c r="L1" s="469">
        <v>2013</v>
      </c>
      <c r="M1" s="201" t="s">
        <v>1028</v>
      </c>
      <c r="N1" s="201" t="s">
        <v>1116</v>
      </c>
      <c r="O1" s="201" t="s">
        <v>1025</v>
      </c>
      <c r="P1" s="97" t="s">
        <v>886</v>
      </c>
      <c r="Q1" t="s">
        <v>1152</v>
      </c>
    </row>
    <row r="2" spans="1:22" x14ac:dyDescent="0.25">
      <c r="A2" s="119">
        <f ca="1">IndentLevel(B2)</f>
        <v>0</v>
      </c>
      <c r="B2" s="92" t="s">
        <v>436</v>
      </c>
      <c r="C2" s="456"/>
      <c r="D2" s="456"/>
      <c r="E2" s="456"/>
      <c r="F2" s="456"/>
      <c r="G2" s="456"/>
      <c r="H2" s="457" t="s">
        <v>282</v>
      </c>
      <c r="I2" s="457" t="s">
        <v>282</v>
      </c>
      <c r="J2" s="457" t="s">
        <v>282</v>
      </c>
    </row>
    <row r="3" spans="1:22" x14ac:dyDescent="0.25">
      <c r="A3" s="119">
        <f ca="1">IndentLevel(B3)</f>
        <v>1</v>
      </c>
      <c r="B3" s="465" t="s">
        <v>437</v>
      </c>
      <c r="C3" s="455">
        <f>'Income Statement (Y)'!C35</f>
        <v>1623.6697291642049</v>
      </c>
      <c r="D3" s="455">
        <f>'Income Statement (Y)'!D35</f>
        <v>1687.356727883282</v>
      </c>
      <c r="E3" s="455">
        <f>'Income Statement (Y)'!E35</f>
        <v>1760.5103077580766</v>
      </c>
      <c r="F3" s="455">
        <f>'Income Statement (Y)'!F35</f>
        <v>1837.8690042897981</v>
      </c>
      <c r="G3" s="455">
        <f>'Income Statement (Y)'!G35</f>
        <v>2179.163904853096</v>
      </c>
      <c r="H3" s="455">
        <f>'Income Statement (Y)'!H35</f>
        <v>994</v>
      </c>
      <c r="I3" s="455">
        <f>'Income Statement (Y)'!I35</f>
        <v>1456</v>
      </c>
      <c r="J3" s="455">
        <f>'Income Statement (Y)'!J35</f>
        <v>1470</v>
      </c>
      <c r="K3" s="455">
        <f>'Income Statement (Y)'!K35</f>
        <v>1736</v>
      </c>
      <c r="L3" s="455">
        <f>'Income Statement (Y)'!L35</f>
        <v>1588</v>
      </c>
      <c r="M3" s="100"/>
    </row>
    <row r="4" spans="1:22" ht="45" x14ac:dyDescent="0.25">
      <c r="A4" s="119">
        <f t="shared" ref="A4:A67" ca="1" si="0">IndentLevel(B4)</f>
        <v>1</v>
      </c>
      <c r="B4" s="465" t="s">
        <v>523</v>
      </c>
      <c r="C4" s="455"/>
      <c r="D4" s="455"/>
      <c r="E4" s="455"/>
      <c r="F4" s="455"/>
      <c r="G4" s="455"/>
      <c r="H4" s="455" t="s">
        <v>282</v>
      </c>
      <c r="I4" s="455" t="s">
        <v>282</v>
      </c>
      <c r="J4" s="455" t="s">
        <v>282</v>
      </c>
      <c r="K4" s="455" t="s">
        <v>282</v>
      </c>
      <c r="L4" s="455" t="s">
        <v>282</v>
      </c>
    </row>
    <row r="5" spans="1:22" x14ac:dyDescent="0.25">
      <c r="A5" s="119">
        <f t="shared" ca="1" si="0"/>
        <v>2</v>
      </c>
      <c r="B5" s="462" t="s">
        <v>438</v>
      </c>
      <c r="C5" s="455">
        <v>0</v>
      </c>
      <c r="D5" s="455">
        <v>0</v>
      </c>
      <c r="E5" s="455">
        <v>0</v>
      </c>
      <c r="F5" s="455">
        <v>0</v>
      </c>
      <c r="G5" s="455">
        <v>0</v>
      </c>
      <c r="H5" s="455">
        <f>'N2 Income Tax'!B103</f>
        <v>820</v>
      </c>
      <c r="I5" s="455">
        <v>0</v>
      </c>
      <c r="J5" s="455">
        <v>0</v>
      </c>
      <c r="K5" s="455">
        <v>0</v>
      </c>
      <c r="L5" s="455">
        <v>0</v>
      </c>
    </row>
    <row r="6" spans="1:22" x14ac:dyDescent="0.25">
      <c r="A6" s="119">
        <f t="shared" ca="1" si="0"/>
        <v>2</v>
      </c>
      <c r="B6" s="462" t="s">
        <v>336</v>
      </c>
      <c r="C6" s="455">
        <f t="shared" ref="C6:G6" si="1">SUBTOTAL(9,C7:C8)</f>
        <v>795.50000000000728</v>
      </c>
      <c r="D6" s="455">
        <f t="shared" si="1"/>
        <v>753.00000000001091</v>
      </c>
      <c r="E6" s="455">
        <f t="shared" si="1"/>
        <v>710.50000000000364</v>
      </c>
      <c r="F6" s="455">
        <f t="shared" si="1"/>
        <v>668.00000000000728</v>
      </c>
      <c r="G6" s="455">
        <f t="shared" si="1"/>
        <v>625.50000000000728</v>
      </c>
      <c r="H6" s="455">
        <f>SUBTOTAL(9,H7:H8)</f>
        <v>583</v>
      </c>
      <c r="I6" s="455">
        <f t="shared" ref="I6:L6" si="2">SUBTOTAL(9,I7:I8)</f>
        <v>530</v>
      </c>
      <c r="J6" s="455">
        <f t="shared" si="2"/>
        <v>514</v>
      </c>
      <c r="K6" s="455">
        <f t="shared" si="2"/>
        <v>455</v>
      </c>
      <c r="L6" s="455">
        <f t="shared" si="2"/>
        <v>407</v>
      </c>
      <c r="P6" s="234"/>
      <c r="Q6" s="234"/>
      <c r="R6" s="234"/>
      <c r="S6" s="234"/>
      <c r="V6" s="220"/>
    </row>
    <row r="7" spans="1:22" x14ac:dyDescent="0.25">
      <c r="A7" s="119">
        <f t="shared" ca="1" si="0"/>
        <v>3</v>
      </c>
      <c r="B7" s="466" t="s">
        <v>922</v>
      </c>
      <c r="C7" s="455">
        <f>'Segment Earnings'!C45+Predictions!C203*Scen_EngSegSales</f>
        <v>792.50000000000728</v>
      </c>
      <c r="D7" s="455">
        <f>'Segment Earnings'!D45+Predictions!D203*Scen_EngSegSales</f>
        <v>750.00000000001091</v>
      </c>
      <c r="E7" s="455">
        <f>'Segment Earnings'!E45+Predictions!E203*Scen_EngSegSales</f>
        <v>707.50000000000364</v>
      </c>
      <c r="F7" s="455">
        <f>'Segment Earnings'!F45+Predictions!F203*Scen_EngSegSales</f>
        <v>665.00000000000728</v>
      </c>
      <c r="G7" s="455">
        <f>'Segment Earnings'!G45+Predictions!G203*Scen_EngSegSales</f>
        <v>622.50000000000728</v>
      </c>
      <c r="H7" s="455">
        <f>'Segment Earnings'!H45</f>
        <v>580</v>
      </c>
      <c r="I7" s="455">
        <f>'Segment Earnings'!I45</f>
        <v>527</v>
      </c>
      <c r="J7" s="455">
        <f>'Segment Earnings'!J45</f>
        <v>511</v>
      </c>
      <c r="K7" s="455">
        <f>'Segment Earnings'!K45</f>
        <v>452</v>
      </c>
      <c r="L7" s="455">
        <f>'Segment Earnings'!L45</f>
        <v>405</v>
      </c>
      <c r="P7" s="234"/>
      <c r="Q7" s="234"/>
      <c r="R7" s="234"/>
      <c r="S7" s="234"/>
      <c r="V7" s="220"/>
    </row>
    <row r="8" spans="1:22" x14ac:dyDescent="0.25">
      <c r="A8" s="119">
        <f t="shared" ca="1" si="0"/>
        <v>3</v>
      </c>
      <c r="B8" s="466" t="s">
        <v>923</v>
      </c>
      <c r="C8" s="455">
        <v>3</v>
      </c>
      <c r="D8" s="455">
        <v>3</v>
      </c>
      <c r="E8" s="455">
        <v>3</v>
      </c>
      <c r="F8" s="455">
        <v>3</v>
      </c>
      <c r="G8" s="455">
        <v>3</v>
      </c>
      <c r="H8" s="455">
        <v>3</v>
      </c>
      <c r="I8" s="455">
        <v>3</v>
      </c>
      <c r="J8" s="455">
        <v>3</v>
      </c>
      <c r="K8" s="455">
        <v>3</v>
      </c>
      <c r="L8" s="455">
        <v>2</v>
      </c>
      <c r="P8" s="234"/>
      <c r="Q8" s="234"/>
      <c r="R8" s="234"/>
      <c r="S8" s="234"/>
      <c r="V8" s="220"/>
    </row>
    <row r="9" spans="1:22" ht="30" x14ac:dyDescent="0.25">
      <c r="A9" s="119">
        <f t="shared" ca="1" si="0"/>
        <v>2</v>
      </c>
      <c r="B9" s="463" t="s">
        <v>532</v>
      </c>
      <c r="C9" s="455"/>
      <c r="D9" s="455"/>
      <c r="E9" s="455"/>
      <c r="F9" s="455"/>
      <c r="G9" s="455"/>
      <c r="H9" s="455">
        <v>0</v>
      </c>
      <c r="I9" s="455">
        <v>-15</v>
      </c>
      <c r="J9" s="455">
        <v>-18</v>
      </c>
      <c r="K9" s="455">
        <v>-73</v>
      </c>
      <c r="L9" s="455">
        <v>-12</v>
      </c>
      <c r="V9" s="220"/>
    </row>
    <row r="10" spans="1:22" x14ac:dyDescent="0.25">
      <c r="A10" s="119">
        <f t="shared" ca="1" si="0"/>
        <v>2</v>
      </c>
      <c r="B10" s="462" t="s">
        <v>439</v>
      </c>
      <c r="C10" s="455">
        <f>'N2 Income Tax'!B23</f>
        <v>3.2861135754430117</v>
      </c>
      <c r="D10" s="455">
        <f>'N2 Income Tax'!C23</f>
        <v>3.4150084530839901</v>
      </c>
      <c r="E10" s="455">
        <f>'N2 Income Tax'!D23</f>
        <v>3.5630625601483388</v>
      </c>
      <c r="F10" s="455">
        <f>'N2 Income Tax'!E23</f>
        <v>3.7196273210017177</v>
      </c>
      <c r="G10" s="455">
        <f>'N2 Income Tax'!F23</f>
        <v>4.4103674301665556</v>
      </c>
      <c r="H10" s="455">
        <f>'N2 Income Tax'!G23</f>
        <v>-54</v>
      </c>
      <c r="I10" s="455">
        <f>'N2 Income Tax'!H23</f>
        <v>50</v>
      </c>
      <c r="J10" s="455">
        <f>'N2 Income Tax'!I23</f>
        <v>-108</v>
      </c>
      <c r="K10" s="455">
        <f>'N2 Income Tax'!J23</f>
        <v>31</v>
      </c>
      <c r="L10" s="455">
        <f>'N2 Income Tax'!K23</f>
        <v>100</v>
      </c>
      <c r="O10" s="97" t="s">
        <v>1029</v>
      </c>
      <c r="P10" s="220"/>
      <c r="V10" s="220"/>
    </row>
    <row r="11" spans="1:22" ht="30" x14ac:dyDescent="0.25">
      <c r="A11" s="119">
        <f t="shared" ca="1" si="0"/>
        <v>2</v>
      </c>
      <c r="B11" s="462" t="s">
        <v>521</v>
      </c>
      <c r="C11" s="455">
        <f>-'N3 Equity Investments'!B38</f>
        <v>-73.399999999999977</v>
      </c>
      <c r="D11" s="455">
        <f>-'N3 Equity Investments'!C38</f>
        <v>-73.399999999999977</v>
      </c>
      <c r="E11" s="455">
        <f>-'N3 Equity Investments'!D38</f>
        <v>-73.399999999999977</v>
      </c>
      <c r="F11" s="455">
        <f>-'N3 Equity Investments'!E38</f>
        <v>-73.399999999999977</v>
      </c>
      <c r="G11" s="455">
        <f>-'N3 Equity Investments'!F38</f>
        <v>-73.399999999999977</v>
      </c>
      <c r="H11" s="455">
        <f>-'N3 Equity Investments'!G38</f>
        <v>-123</v>
      </c>
      <c r="I11" s="455">
        <f>-'N3 Equity Investments'!H38</f>
        <v>-46</v>
      </c>
      <c r="J11" s="455">
        <f>-'N3 Equity Investments'!I38</f>
        <v>-36</v>
      </c>
      <c r="K11" s="455">
        <f>-'N3 Equity Investments'!J38</f>
        <v>-100</v>
      </c>
      <c r="L11" s="455">
        <f>-'N3 Equity Investments'!K38</f>
        <v>-62</v>
      </c>
      <c r="O11" s="97" t="s">
        <v>1011</v>
      </c>
      <c r="V11" s="220"/>
    </row>
    <row r="12" spans="1:22" ht="30" x14ac:dyDescent="0.25">
      <c r="A12" s="119">
        <f t="shared" ca="1" si="0"/>
        <v>2</v>
      </c>
      <c r="B12" s="464" t="s">
        <v>520</v>
      </c>
      <c r="C12" s="455">
        <f t="shared" ref="C12:G13" si="3">$M12</f>
        <v>-122</v>
      </c>
      <c r="D12" s="455">
        <f t="shared" si="3"/>
        <v>-122</v>
      </c>
      <c r="E12" s="455">
        <f t="shared" si="3"/>
        <v>-122</v>
      </c>
      <c r="F12" s="455">
        <f t="shared" si="3"/>
        <v>-122</v>
      </c>
      <c r="G12" s="455">
        <f t="shared" si="3"/>
        <v>-122</v>
      </c>
      <c r="H12" s="455">
        <v>-161</v>
      </c>
      <c r="I12" s="455">
        <v>-92</v>
      </c>
      <c r="J12" s="455">
        <v>-127</v>
      </c>
      <c r="K12" s="455">
        <v>-148</v>
      </c>
      <c r="L12" s="455">
        <v>-82</v>
      </c>
      <c r="M12" s="289">
        <f>AVERAGE(H12:L12)</f>
        <v>-122</v>
      </c>
      <c r="N12" s="289"/>
      <c r="O12" s="97" t="s">
        <v>1019</v>
      </c>
      <c r="V12" s="220"/>
    </row>
    <row r="13" spans="1:22" ht="30" x14ac:dyDescent="0.25">
      <c r="A13" s="119">
        <f t="shared" ca="1" si="0"/>
        <v>2</v>
      </c>
      <c r="B13" s="463" t="s">
        <v>522</v>
      </c>
      <c r="C13" s="455">
        <f t="shared" si="3"/>
        <v>-21.2</v>
      </c>
      <c r="D13" s="455">
        <f t="shared" si="3"/>
        <v>-21.2</v>
      </c>
      <c r="E13" s="455">
        <f t="shared" si="3"/>
        <v>-21.2</v>
      </c>
      <c r="F13" s="455">
        <f t="shared" si="3"/>
        <v>-21.2</v>
      </c>
      <c r="G13" s="455">
        <f t="shared" si="3"/>
        <v>-21.2</v>
      </c>
      <c r="H13" s="455">
        <v>-5</v>
      </c>
      <c r="I13" s="455">
        <v>-25</v>
      </c>
      <c r="J13" s="455">
        <v>-23</v>
      </c>
      <c r="K13" s="455">
        <v>-28</v>
      </c>
      <c r="L13" s="455">
        <v>-25</v>
      </c>
      <c r="M13" s="289">
        <f>AVERAGE(H13:L13)</f>
        <v>-21.2</v>
      </c>
      <c r="N13" s="289"/>
      <c r="O13" s="97" t="s">
        <v>1019</v>
      </c>
      <c r="V13" s="220"/>
    </row>
    <row r="14" spans="1:22" ht="30" x14ac:dyDescent="0.25">
      <c r="A14" s="119">
        <f t="shared" ca="1" si="0"/>
        <v>2</v>
      </c>
      <c r="B14" s="463" t="s">
        <v>528</v>
      </c>
      <c r="C14" s="455">
        <f t="shared" ref="C14:F14" si="4">$M14*C$1+$N14</f>
        <v>36.800000000000068</v>
      </c>
      <c r="D14" s="455">
        <f t="shared" si="4"/>
        <v>36.400000000000091</v>
      </c>
      <c r="E14" s="455">
        <f t="shared" si="4"/>
        <v>36</v>
      </c>
      <c r="F14" s="455">
        <f t="shared" si="4"/>
        <v>35.600000000000023</v>
      </c>
      <c r="G14" s="455">
        <f>$M14*G$1+$N14</f>
        <v>35.200000000000045</v>
      </c>
      <c r="H14" s="455">
        <v>41</v>
      </c>
      <c r="I14" s="455">
        <v>32</v>
      </c>
      <c r="J14" s="455">
        <v>24</v>
      </c>
      <c r="K14" s="455">
        <v>36</v>
      </c>
      <c r="L14" s="455">
        <v>37</v>
      </c>
      <c r="M14" s="97">
        <f>SLOPE(H14:L14,$H$1:$L$1)</f>
        <v>0.4</v>
      </c>
      <c r="N14" s="97">
        <f>INTERCEPT(H14:L14, $H$1:$L$1)</f>
        <v>-772</v>
      </c>
      <c r="O14" s="97" t="s">
        <v>1020</v>
      </c>
      <c r="V14" s="220"/>
    </row>
    <row r="15" spans="1:22" ht="30" x14ac:dyDescent="0.25">
      <c r="A15" s="119">
        <f t="shared" ca="1" si="0"/>
        <v>2</v>
      </c>
      <c r="B15" s="462" t="s">
        <v>527</v>
      </c>
      <c r="C15" s="455">
        <f t="shared" ref="C15:G15" si="5">SUBTOTAL(9,C16:C17)</f>
        <v>0</v>
      </c>
      <c r="D15" s="455">
        <f t="shared" si="5"/>
        <v>0</v>
      </c>
      <c r="E15" s="455">
        <f t="shared" si="5"/>
        <v>0</v>
      </c>
      <c r="F15" s="455">
        <f t="shared" si="5"/>
        <v>0</v>
      </c>
      <c r="G15" s="455">
        <f t="shared" si="5"/>
        <v>0</v>
      </c>
      <c r="H15" s="455">
        <f>SUBTOTAL(9,H16:H17)</f>
        <v>5</v>
      </c>
      <c r="I15" s="455">
        <f t="shared" ref="I15:L15" si="6">SUBTOTAL(9,I16:I17)</f>
        <v>122</v>
      </c>
      <c r="J15" s="455">
        <f t="shared" si="6"/>
        <v>60</v>
      </c>
      <c r="K15" s="455">
        <f t="shared" si="6"/>
        <v>0</v>
      </c>
      <c r="L15" s="455">
        <f t="shared" si="6"/>
        <v>0</v>
      </c>
      <c r="V15" s="220"/>
    </row>
    <row r="16" spans="1:22" x14ac:dyDescent="0.25">
      <c r="A16" s="119">
        <f t="shared" ca="1" si="0"/>
        <v>3</v>
      </c>
      <c r="B16" s="467" t="s">
        <v>930</v>
      </c>
      <c r="C16" s="455">
        <f>'Income Statement (Y)'!C9</f>
        <v>0</v>
      </c>
      <c r="D16" s="455">
        <f>'Income Statement (Y)'!D9</f>
        <v>0</v>
      </c>
      <c r="E16" s="455">
        <f>'Income Statement (Y)'!E9</f>
        <v>0</v>
      </c>
      <c r="F16" s="455">
        <f>'Income Statement (Y)'!F9</f>
        <v>0</v>
      </c>
      <c r="G16" s="455">
        <f>'Income Statement (Y)'!G9</f>
        <v>0</v>
      </c>
      <c r="H16" s="455">
        <f>'Income Statement (Y)'!H9</f>
        <v>5</v>
      </c>
      <c r="I16" s="455">
        <f>'Income Statement (Y)'!I9</f>
        <v>138</v>
      </c>
      <c r="J16" s="455">
        <f>'Income Statement (Y)'!J9</f>
        <v>60</v>
      </c>
      <c r="K16" s="455">
        <f>'Income Statement (Y)'!K9</f>
        <v>0</v>
      </c>
      <c r="L16" s="455">
        <f>'Income Statement (Y)'!L9</f>
        <v>0</v>
      </c>
      <c r="V16" s="220"/>
    </row>
    <row r="17" spans="1:22" x14ac:dyDescent="0.25">
      <c r="A17" s="119">
        <f t="shared" ca="1" si="0"/>
        <v>3</v>
      </c>
      <c r="B17" s="467" t="s">
        <v>973</v>
      </c>
      <c r="C17" s="455">
        <v>0</v>
      </c>
      <c r="D17" s="455">
        <v>0</v>
      </c>
      <c r="E17" s="455">
        <v>0</v>
      </c>
      <c r="F17" s="455">
        <v>0</v>
      </c>
      <c r="G17" s="455">
        <v>0</v>
      </c>
      <c r="H17" s="455">
        <v>0</v>
      </c>
      <c r="I17" s="455">
        <v>-16</v>
      </c>
      <c r="J17" s="455">
        <v>0</v>
      </c>
      <c r="K17" s="455">
        <v>0</v>
      </c>
      <c r="L17" s="455">
        <v>0</v>
      </c>
      <c r="V17" s="220"/>
    </row>
    <row r="18" spans="1:22" ht="30" x14ac:dyDescent="0.25">
      <c r="A18" s="119">
        <f t="shared" ca="1" si="0"/>
        <v>2</v>
      </c>
      <c r="B18" s="462" t="s">
        <v>526</v>
      </c>
      <c r="C18" s="455">
        <f>'Income Statement (Y)'!C10</f>
        <v>0</v>
      </c>
      <c r="D18" s="455">
        <f>'Income Statement (Y)'!D10</f>
        <v>0</v>
      </c>
      <c r="E18" s="455">
        <f>'Income Statement (Y)'!E10</f>
        <v>0</v>
      </c>
      <c r="F18" s="455">
        <f>'Income Statement (Y)'!F10</f>
        <v>0</v>
      </c>
      <c r="G18" s="455">
        <f>'Income Statement (Y)'!G10</f>
        <v>0</v>
      </c>
      <c r="H18" s="455">
        <f>'Income Statement (Y)'!H10</f>
        <v>0</v>
      </c>
      <c r="I18" s="455">
        <f>'Income Statement (Y)'!I10</f>
        <v>0</v>
      </c>
      <c r="J18" s="455">
        <f>'Income Statement (Y)'!J10</f>
        <v>211</v>
      </c>
      <c r="K18" s="455">
        <f>'Income Statement (Y)'!K10</f>
        <v>0</v>
      </c>
      <c r="L18" s="455">
        <f>'Income Statement (Y)'!L10</f>
        <v>0</v>
      </c>
      <c r="V18" s="220"/>
    </row>
    <row r="19" spans="1:22" ht="30" x14ac:dyDescent="0.25">
      <c r="A19" s="119">
        <f t="shared" ca="1" si="0"/>
        <v>2</v>
      </c>
      <c r="B19" s="462" t="s">
        <v>525</v>
      </c>
      <c r="C19" s="455">
        <f t="shared" ref="C19:G19" si="7">SUBTOTAL(9,C20:C21)</f>
        <v>0</v>
      </c>
      <c r="D19" s="455">
        <f t="shared" si="7"/>
        <v>0</v>
      </c>
      <c r="E19" s="455">
        <f t="shared" si="7"/>
        <v>0</v>
      </c>
      <c r="F19" s="455">
        <f t="shared" si="7"/>
        <v>0</v>
      </c>
      <c r="G19" s="455">
        <f t="shared" si="7"/>
        <v>0</v>
      </c>
      <c r="H19" s="455">
        <f>SUBTOTAL(9,H20:H21)</f>
        <v>0</v>
      </c>
      <c r="I19" s="455">
        <f t="shared" ref="I19" si="8">SUBTOTAL(9,I20:I21)</f>
        <v>-59</v>
      </c>
      <c r="J19" s="455">
        <f t="shared" ref="J19" si="9">SUBTOTAL(9,J20:J21)</f>
        <v>64</v>
      </c>
      <c r="K19" s="455">
        <f t="shared" ref="K19" si="10">SUBTOTAL(9,K20:K21)</f>
        <v>0</v>
      </c>
      <c r="L19" s="455">
        <f t="shared" ref="L19" si="11">SUBTOTAL(9,L20:L21)</f>
        <v>0</v>
      </c>
      <c r="V19" s="220"/>
    </row>
    <row r="20" spans="1:22" x14ac:dyDescent="0.25">
      <c r="A20" s="119">
        <f t="shared" ca="1" si="0"/>
        <v>3</v>
      </c>
      <c r="B20" s="467" t="s">
        <v>930</v>
      </c>
      <c r="C20" s="455">
        <f>'Income Statement (Y)'!C11</f>
        <v>0</v>
      </c>
      <c r="D20" s="455">
        <f>'Income Statement (Y)'!D11</f>
        <v>0</v>
      </c>
      <c r="E20" s="455">
        <f>'Income Statement (Y)'!E11</f>
        <v>0</v>
      </c>
      <c r="F20" s="455">
        <f>'Income Statement (Y)'!F11</f>
        <v>0</v>
      </c>
      <c r="G20" s="455">
        <f>'Income Statement (Y)'!G11</f>
        <v>0</v>
      </c>
      <c r="H20" s="455">
        <f>'Income Statement (Y)'!H11</f>
        <v>0</v>
      </c>
      <c r="I20" s="455">
        <f>'Income Statement (Y)'!I11</f>
        <v>0</v>
      </c>
      <c r="J20" s="455">
        <f>'Income Statement (Y)'!J11</f>
        <v>90</v>
      </c>
      <c r="K20" s="455">
        <f>'Income Statement (Y)'!K11</f>
        <v>0</v>
      </c>
      <c r="L20" s="455">
        <f>'Income Statement (Y)'!L11</f>
        <v>0</v>
      </c>
      <c r="V20" s="220"/>
    </row>
    <row r="21" spans="1:22" x14ac:dyDescent="0.25">
      <c r="A21" s="119">
        <f t="shared" ca="1" si="0"/>
        <v>3</v>
      </c>
      <c r="B21" s="467" t="s">
        <v>973</v>
      </c>
      <c r="C21" s="455">
        <v>0</v>
      </c>
      <c r="D21" s="455">
        <v>0</v>
      </c>
      <c r="E21" s="455">
        <v>0</v>
      </c>
      <c r="F21" s="455">
        <v>0</v>
      </c>
      <c r="G21" s="455">
        <v>0</v>
      </c>
      <c r="H21" s="455">
        <v>0</v>
      </c>
      <c r="I21" s="455">
        <v>-59</v>
      </c>
      <c r="J21" s="455">
        <v>-26</v>
      </c>
      <c r="K21" s="455">
        <v>0</v>
      </c>
      <c r="L21" s="455">
        <v>0</v>
      </c>
      <c r="O21" s="97" t="s">
        <v>1017</v>
      </c>
      <c r="V21" s="220"/>
    </row>
    <row r="22" spans="1:22" ht="30" x14ac:dyDescent="0.25">
      <c r="A22" s="119">
        <f t="shared" ca="1" si="0"/>
        <v>2</v>
      </c>
      <c r="B22" s="463" t="s">
        <v>440</v>
      </c>
      <c r="C22" s="455">
        <f t="shared" ref="C22:G22" si="12">SUBTOTAL(9,C23:C24)</f>
        <v>-69.800000000000722</v>
      </c>
      <c r="D22" s="455">
        <f t="shared" si="12"/>
        <v>-62.800000000000729</v>
      </c>
      <c r="E22" s="455">
        <f t="shared" si="12"/>
        <v>-55.800000000000729</v>
      </c>
      <c r="F22" s="455">
        <f t="shared" si="12"/>
        <v>-48.800000000000729</v>
      </c>
      <c r="G22" s="455">
        <f t="shared" si="12"/>
        <v>-41.800000000000729</v>
      </c>
      <c r="H22" s="455">
        <f>SUBTOTAL(9,H23:H24)</f>
        <v>-52</v>
      </c>
      <c r="I22" s="455">
        <f t="shared" ref="I22:J22" si="13">SUBTOTAL(9,I23:I24)</f>
        <v>-22</v>
      </c>
      <c r="J22" s="455">
        <f t="shared" si="13"/>
        <v>6</v>
      </c>
      <c r="K22" s="455">
        <f t="shared" ref="K22" si="14">SUBTOTAL(9,K23:K24)</f>
        <v>-24</v>
      </c>
      <c r="L22" s="455">
        <f t="shared" ref="L22" si="15">SUBTOTAL(9,L23:L24)</f>
        <v>-12</v>
      </c>
      <c r="V22" s="220"/>
    </row>
    <row r="23" spans="1:22" x14ac:dyDescent="0.25">
      <c r="A23" s="119">
        <f t="shared" ca="1" si="0"/>
        <v>3</v>
      </c>
      <c r="B23" s="467" t="s">
        <v>931</v>
      </c>
      <c r="C23" s="455">
        <f>-'Income Statement (Y)'!C22</f>
        <v>-69.200000000000728</v>
      </c>
      <c r="D23" s="455">
        <f>-'Income Statement (Y)'!D22</f>
        <v>-62.200000000000728</v>
      </c>
      <c r="E23" s="455">
        <f>-'Income Statement (Y)'!E22</f>
        <v>-55.200000000000728</v>
      </c>
      <c r="F23" s="455">
        <f>-'Income Statement (Y)'!F22</f>
        <v>-48.200000000000728</v>
      </c>
      <c r="G23" s="455">
        <f>-'Income Statement (Y)'!G22</f>
        <v>-41.200000000000728</v>
      </c>
      <c r="H23" s="455">
        <f>-'Income Statement (Y)'!H22</f>
        <v>-50</v>
      </c>
      <c r="I23" s="455">
        <f>-'Income Statement (Y)'!I22</f>
        <v>-18</v>
      </c>
      <c r="J23" s="455">
        <f>-'Income Statement (Y)'!J22</f>
        <v>3</v>
      </c>
      <c r="K23" s="455">
        <f>-'Income Statement (Y)'!K22</f>
        <v>-24</v>
      </c>
      <c r="L23" s="455">
        <f>-'Income Statement (Y)'!L22</f>
        <v>-12</v>
      </c>
      <c r="V23" s="220"/>
    </row>
    <row r="24" spans="1:22" x14ac:dyDescent="0.25">
      <c r="A24" s="119">
        <f t="shared" ca="1" si="0"/>
        <v>3</v>
      </c>
      <c r="B24" s="467" t="s">
        <v>850</v>
      </c>
      <c r="C24" s="455">
        <f t="shared" ref="C24:G25" si="16">$M24</f>
        <v>-0.6</v>
      </c>
      <c r="D24" s="455">
        <f t="shared" si="16"/>
        <v>-0.6</v>
      </c>
      <c r="E24" s="455">
        <f t="shared" si="16"/>
        <v>-0.6</v>
      </c>
      <c r="F24" s="455">
        <f t="shared" si="16"/>
        <v>-0.6</v>
      </c>
      <c r="G24" s="455">
        <f>$M24</f>
        <v>-0.6</v>
      </c>
      <c r="H24" s="455">
        <v>-2</v>
      </c>
      <c r="I24" s="455">
        <v>-4</v>
      </c>
      <c r="J24" s="455">
        <v>3</v>
      </c>
      <c r="K24" s="455">
        <v>0</v>
      </c>
      <c r="L24" s="455">
        <v>0</v>
      </c>
      <c r="M24" s="289">
        <f>AVERAGE(H24:L24)</f>
        <v>-0.6</v>
      </c>
      <c r="N24" s="289"/>
      <c r="O24" s="97" t="s">
        <v>1018</v>
      </c>
      <c r="V24" s="220"/>
    </row>
    <row r="25" spans="1:22" x14ac:dyDescent="0.25">
      <c r="A25" s="119">
        <f t="shared" ca="1" si="0"/>
        <v>2</v>
      </c>
      <c r="B25" s="463" t="s">
        <v>441</v>
      </c>
      <c r="C25" s="455">
        <f t="shared" si="16"/>
        <v>9.1999999999999993</v>
      </c>
      <c r="D25" s="455">
        <f t="shared" si="16"/>
        <v>9.1999999999999993</v>
      </c>
      <c r="E25" s="455">
        <f t="shared" si="16"/>
        <v>9.1999999999999993</v>
      </c>
      <c r="F25" s="455">
        <f t="shared" si="16"/>
        <v>9.1999999999999993</v>
      </c>
      <c r="G25" s="455">
        <f t="shared" si="16"/>
        <v>9.1999999999999993</v>
      </c>
      <c r="H25" s="455">
        <v>71</v>
      </c>
      <c r="I25" s="455">
        <v>-55</v>
      </c>
      <c r="J25" s="455">
        <v>26</v>
      </c>
      <c r="K25" s="455">
        <v>-13</v>
      </c>
      <c r="L25" s="455">
        <v>17</v>
      </c>
      <c r="M25" s="289">
        <f>AVERAGE(H25:L25)</f>
        <v>9.1999999999999993</v>
      </c>
      <c r="N25" s="289"/>
      <c r="O25" s="97" t="s">
        <v>1018</v>
      </c>
      <c r="V25" s="220"/>
    </row>
    <row r="26" spans="1:22" ht="30" x14ac:dyDescent="0.25">
      <c r="A26" s="119">
        <f t="shared" ca="1" si="0"/>
        <v>1</v>
      </c>
      <c r="B26" s="465" t="s">
        <v>524</v>
      </c>
      <c r="C26" s="455">
        <f t="shared" ref="C26:G26" si="17">SUBTOTAL(9,C28:C43)</f>
        <v>448.60365369920487</v>
      </c>
      <c r="D26" s="455">
        <f t="shared" si="17"/>
        <v>421.76878164846289</v>
      </c>
      <c r="E26" s="455">
        <f t="shared" si="17"/>
        <v>398.26671724959698</v>
      </c>
      <c r="F26" s="455">
        <f t="shared" si="17"/>
        <v>377.72501872711592</v>
      </c>
      <c r="G26" s="455">
        <f t="shared" si="17"/>
        <v>683.71084054033588</v>
      </c>
      <c r="H26" s="455">
        <f>SUBTOTAL(9,H28:H43)</f>
        <v>158</v>
      </c>
      <c r="I26" s="455">
        <f t="shared" ref="I26:L26" si="18">SUBTOTAL(9,I28:I43)</f>
        <v>63</v>
      </c>
      <c r="J26" s="455">
        <f t="shared" si="18"/>
        <v>2</v>
      </c>
      <c r="K26" s="455">
        <f t="shared" si="18"/>
        <v>394</v>
      </c>
      <c r="L26" s="455">
        <f t="shared" si="18"/>
        <v>133</v>
      </c>
      <c r="Q26" s="97"/>
      <c r="R26" s="97"/>
      <c r="S26" s="97"/>
      <c r="V26" s="220"/>
    </row>
    <row r="27" spans="1:22" x14ac:dyDescent="0.25">
      <c r="A27" s="119">
        <f t="shared" ca="1" si="0"/>
        <v>2</v>
      </c>
      <c r="B27" s="463" t="s">
        <v>442</v>
      </c>
      <c r="C27" s="455">
        <f t="shared" ref="C27:G27" si="19">SUBTOTAL(9,C28:C29)</f>
        <v>-274.8176588519209</v>
      </c>
      <c r="D27" s="455">
        <f t="shared" si="19"/>
        <v>-258.13859642386569</v>
      </c>
      <c r="E27" s="455">
        <f t="shared" si="19"/>
        <v>-242.47180927914314</v>
      </c>
      <c r="F27" s="455">
        <f t="shared" si="19"/>
        <v>-227.75586103584101</v>
      </c>
      <c r="G27" s="455">
        <f t="shared" si="19"/>
        <v>-213.93304397073007</v>
      </c>
      <c r="H27" s="455">
        <f>SUBTOTAL(9,H28:H29)</f>
        <v>-508</v>
      </c>
      <c r="I27" s="455">
        <f t="shared" ref="I27:L27" si="20">SUBTOTAL(9,I28:I29)</f>
        <v>-265</v>
      </c>
      <c r="J27" s="455">
        <f t="shared" si="20"/>
        <v>103</v>
      </c>
      <c r="K27" s="455">
        <f t="shared" si="20"/>
        <v>-89</v>
      </c>
      <c r="L27" s="455">
        <f t="shared" si="20"/>
        <v>-148</v>
      </c>
      <c r="Q27" s="97"/>
      <c r="R27" s="97"/>
      <c r="S27" s="97"/>
      <c r="V27" s="220"/>
    </row>
    <row r="28" spans="1:22" x14ac:dyDescent="0.25">
      <c r="A28" s="119">
        <f t="shared" ca="1" si="0"/>
        <v>3</v>
      </c>
      <c r="B28" s="466" t="s">
        <v>931</v>
      </c>
      <c r="C28" s="455">
        <f>-('Balance Sheet (Y)'!C13-'Balance Sheet (Y)'!D13)</f>
        <v>-274.8176588519209</v>
      </c>
      <c r="D28" s="455">
        <f>-('Balance Sheet (Y)'!D13-'Balance Sheet (Y)'!E13)</f>
        <v>-258.13859642386569</v>
      </c>
      <c r="E28" s="455">
        <f>-('Balance Sheet (Y)'!E13-'Balance Sheet (Y)'!F13)</f>
        <v>-242.47180927914314</v>
      </c>
      <c r="F28" s="455">
        <f>-('Balance Sheet (Y)'!F13-'Balance Sheet (Y)'!G13)</f>
        <v>-227.75586103584101</v>
      </c>
      <c r="G28" s="455">
        <f>-('Balance Sheet (Y)'!G13-'Balance Sheet (Y)'!H13)</f>
        <v>-213.93304397073007</v>
      </c>
      <c r="H28" s="458">
        <f>-('Balance Sheet (Y)'!H13-'Balance Sheet (Y)'!I13)</f>
        <v>-508</v>
      </c>
      <c r="I28" s="458">
        <f>-('Balance Sheet (Y)'!I13-'Balance Sheet (Y)'!J13)</f>
        <v>-163</v>
      </c>
      <c r="J28" s="458">
        <f>-('Balance Sheet (Y)'!J13-'Balance Sheet (Y)'!K13)</f>
        <v>104</v>
      </c>
      <c r="K28" s="459">
        <v>-89</v>
      </c>
      <c r="L28" s="459">
        <v>-148</v>
      </c>
      <c r="Q28" s="97"/>
      <c r="R28" s="97"/>
      <c r="S28" s="97"/>
      <c r="V28" s="220"/>
    </row>
    <row r="29" spans="1:22" x14ac:dyDescent="0.25">
      <c r="A29" s="119">
        <f t="shared" ca="1" si="0"/>
        <v>3</v>
      </c>
      <c r="B29" s="466" t="s">
        <v>490</v>
      </c>
      <c r="C29" s="455">
        <v>0</v>
      </c>
      <c r="D29" s="455">
        <v>0</v>
      </c>
      <c r="E29" s="455">
        <v>0</v>
      </c>
      <c r="F29" s="455">
        <v>0</v>
      </c>
      <c r="G29" s="455">
        <v>0</v>
      </c>
      <c r="H29" s="458">
        <v>0</v>
      </c>
      <c r="I29" s="458">
        <v>-102</v>
      </c>
      <c r="J29" s="458">
        <v>-1</v>
      </c>
      <c r="K29" s="459">
        <v>0</v>
      </c>
      <c r="L29" s="459">
        <v>0</v>
      </c>
      <c r="Q29" s="97"/>
      <c r="R29" s="97"/>
      <c r="S29" s="97"/>
      <c r="V29" s="220"/>
    </row>
    <row r="30" spans="1:22" x14ac:dyDescent="0.25">
      <c r="A30" s="119">
        <f t="shared" ca="1" si="0"/>
        <v>2</v>
      </c>
      <c r="B30" s="463" t="s">
        <v>68</v>
      </c>
      <c r="C30" s="458">
        <f t="shared" ref="C30:G30" si="21">SUBTOTAL(9,C31:C32)</f>
        <v>-24.400000000001455</v>
      </c>
      <c r="D30" s="458">
        <f t="shared" si="21"/>
        <v>-24.399999999994179</v>
      </c>
      <c r="E30" s="458">
        <f t="shared" si="21"/>
        <v>-24.400000000001455</v>
      </c>
      <c r="F30" s="458">
        <f t="shared" si="21"/>
        <v>-24.400000000001455</v>
      </c>
      <c r="G30" s="458">
        <f t="shared" si="21"/>
        <v>251.5</v>
      </c>
      <c r="H30" s="458">
        <f>SUBTOTAL(9,H31:H32)</f>
        <v>-407</v>
      </c>
      <c r="I30" s="458">
        <f t="shared" ref="I30" si="22">SUBTOTAL(9,I31:I32)</f>
        <v>-4</v>
      </c>
      <c r="J30" s="458">
        <f t="shared" ref="J30" si="23">SUBTOTAL(9,J31:J32)</f>
        <v>150</v>
      </c>
      <c r="K30" s="458">
        <f t="shared" ref="K30" si="24">SUBTOTAL(9,K31:K32)</f>
        <v>-256</v>
      </c>
      <c r="L30" s="458">
        <f t="shared" ref="L30" si="25">SUBTOTAL(9,L31:L32)</f>
        <v>-46</v>
      </c>
      <c r="Q30" s="97"/>
      <c r="R30" s="97"/>
      <c r="S30" s="97"/>
      <c r="V30" s="220"/>
    </row>
    <row r="31" spans="1:22" x14ac:dyDescent="0.25">
      <c r="A31" s="119">
        <f t="shared" ca="1" si="0"/>
        <v>3</v>
      </c>
      <c r="B31" s="466" t="s">
        <v>931</v>
      </c>
      <c r="C31" s="455">
        <f>-('Balance Sheet (Y)'!C15-'Balance Sheet (Y)'!D15)</f>
        <v>-24.400000000001455</v>
      </c>
      <c r="D31" s="455">
        <f>-('Balance Sheet (Y)'!D15-'Balance Sheet (Y)'!E15)</f>
        <v>-24.399999999994179</v>
      </c>
      <c r="E31" s="455">
        <f>-('Balance Sheet (Y)'!E15-'Balance Sheet (Y)'!F15)</f>
        <v>-24.400000000001455</v>
      </c>
      <c r="F31" s="455">
        <f>-('Balance Sheet (Y)'!F15-'Balance Sheet (Y)'!G15)</f>
        <v>-24.400000000001455</v>
      </c>
      <c r="G31" s="455">
        <f>-('Balance Sheet (Y)'!G15-'Balance Sheet (Y)'!H15)</f>
        <v>251.5</v>
      </c>
      <c r="H31" s="458">
        <f>-('Balance Sheet (Y)'!H15-'Balance Sheet (Y)'!I15)</f>
        <v>-491</v>
      </c>
      <c r="I31" s="458">
        <f>-('Balance Sheet (Y)'!I15-'Balance Sheet (Y)'!J15)</f>
        <v>32</v>
      </c>
      <c r="J31" s="458">
        <f>-('Balance Sheet (Y)'!J15-'Balance Sheet (Y)'!K15)</f>
        <v>159</v>
      </c>
      <c r="K31" s="459">
        <v>-256</v>
      </c>
      <c r="L31" s="459">
        <v>-46</v>
      </c>
      <c r="Q31" s="97"/>
      <c r="R31" s="97"/>
      <c r="S31" s="97"/>
      <c r="V31" s="220"/>
    </row>
    <row r="32" spans="1:22" x14ac:dyDescent="0.25">
      <c r="A32" s="119">
        <f t="shared" ca="1" si="0"/>
        <v>3</v>
      </c>
      <c r="B32" s="466" t="s">
        <v>490</v>
      </c>
      <c r="C32" s="455"/>
      <c r="D32" s="455"/>
      <c r="E32" s="455"/>
      <c r="F32" s="455"/>
      <c r="G32" s="455"/>
      <c r="H32" s="458">
        <v>84</v>
      </c>
      <c r="I32" s="458">
        <v>-36</v>
      </c>
      <c r="J32" s="460">
        <v>-9</v>
      </c>
      <c r="K32" s="459">
        <v>0</v>
      </c>
      <c r="L32" s="459">
        <v>0</v>
      </c>
      <c r="Q32" s="97"/>
      <c r="R32" s="97"/>
      <c r="S32" s="97"/>
      <c r="V32" s="220"/>
    </row>
    <row r="33" spans="1:22" x14ac:dyDescent="0.25">
      <c r="A33" s="119">
        <f t="shared" ca="1" si="0"/>
        <v>2</v>
      </c>
      <c r="B33" s="463" t="s">
        <v>443</v>
      </c>
      <c r="C33" s="455">
        <f t="shared" ref="C33:G33" si="26">SUBTOTAL(9,C34:C35)</f>
        <v>19.949999999999989</v>
      </c>
      <c r="D33" s="455">
        <f t="shared" si="26"/>
        <v>19.949999999999989</v>
      </c>
      <c r="E33" s="455">
        <f t="shared" si="26"/>
        <v>19.950000000000045</v>
      </c>
      <c r="F33" s="455">
        <f t="shared" si="26"/>
        <v>19.950000000000045</v>
      </c>
      <c r="G33" s="455">
        <f t="shared" si="26"/>
        <v>19.950000000000045</v>
      </c>
      <c r="H33" s="458">
        <f>SUBTOTAL(9,H34:H35)</f>
        <v>-12</v>
      </c>
      <c r="I33" s="458">
        <f t="shared" ref="I33" si="27">SUBTOTAL(9,I34:I35)</f>
        <v>14</v>
      </c>
      <c r="J33" s="458">
        <f t="shared" ref="J33" si="28">SUBTOTAL(9,J34:J35)</f>
        <v>-151</v>
      </c>
      <c r="K33" s="458">
        <f t="shared" ref="K33" si="29">SUBTOTAL(9,K34:K35)</f>
        <v>1</v>
      </c>
      <c r="L33" s="458">
        <f t="shared" ref="L33" si="30">SUBTOTAL(9,L34:L35)</f>
        <v>212</v>
      </c>
      <c r="Q33" s="97"/>
      <c r="R33" s="97"/>
      <c r="V33" s="220"/>
    </row>
    <row r="34" spans="1:22" x14ac:dyDescent="0.25">
      <c r="A34" s="119">
        <f t="shared" ca="1" si="0"/>
        <v>3</v>
      </c>
      <c r="B34" s="466" t="s">
        <v>931</v>
      </c>
      <c r="C34" s="455">
        <f>-('Balance Sheet (Y)'!C20-'Balance Sheet (Y)'!D20)</f>
        <v>19.949999999999989</v>
      </c>
      <c r="D34" s="455">
        <f>-('Balance Sheet (Y)'!D20-'Balance Sheet (Y)'!E20)</f>
        <v>19.949999999999989</v>
      </c>
      <c r="E34" s="455">
        <f>-('Balance Sheet (Y)'!E20-'Balance Sheet (Y)'!F20)</f>
        <v>19.950000000000045</v>
      </c>
      <c r="F34" s="455">
        <f>-('Balance Sheet (Y)'!F20-'Balance Sheet (Y)'!G20)</f>
        <v>19.950000000000045</v>
      </c>
      <c r="G34" s="455">
        <f>-('Balance Sheet (Y)'!G20-'Balance Sheet (Y)'!H20)</f>
        <v>19.950000000000045</v>
      </c>
      <c r="H34" s="458">
        <f>-('Balance Sheet (Y)'!H20-'Balance Sheet (Y)'!I20)</f>
        <v>50</v>
      </c>
      <c r="I34" s="458">
        <f>-('Balance Sheet (Y)'!I20-'Balance Sheet (Y)'!J20)</f>
        <v>-18</v>
      </c>
      <c r="J34" s="458">
        <f>-('Balance Sheet (Y)'!J20-'Balance Sheet (Y)'!K20)</f>
        <v>240</v>
      </c>
      <c r="K34" s="459">
        <v>1</v>
      </c>
      <c r="L34" s="459">
        <v>212</v>
      </c>
      <c r="Q34" s="97"/>
      <c r="R34" s="97"/>
      <c r="V34" s="220"/>
    </row>
    <row r="35" spans="1:22" x14ac:dyDescent="0.25">
      <c r="A35" s="119">
        <f t="shared" ca="1" si="0"/>
        <v>3</v>
      </c>
      <c r="B35" s="466" t="s">
        <v>490</v>
      </c>
      <c r="C35" s="455"/>
      <c r="D35" s="455"/>
      <c r="E35" s="455"/>
      <c r="F35" s="455"/>
      <c r="G35" s="455"/>
      <c r="H35" s="458">
        <v>-62</v>
      </c>
      <c r="I35" s="460">
        <v>32</v>
      </c>
      <c r="J35" s="458">
        <v>-391</v>
      </c>
      <c r="K35" s="459">
        <v>0</v>
      </c>
      <c r="L35" s="459">
        <v>0</v>
      </c>
      <c r="Q35" s="97"/>
      <c r="R35" s="97"/>
      <c r="V35" s="220"/>
    </row>
    <row r="36" spans="1:22" x14ac:dyDescent="0.25">
      <c r="A36" s="119">
        <f t="shared" ca="1" si="0"/>
        <v>2</v>
      </c>
      <c r="B36" s="463" t="s">
        <v>444</v>
      </c>
      <c r="C36" s="455">
        <f t="shared" ref="C36:G36" si="31">SUBTOTAL(9,C37:C38)</f>
        <v>435.77131255112727</v>
      </c>
      <c r="D36" s="455">
        <f t="shared" si="31"/>
        <v>392.25737807232281</v>
      </c>
      <c r="E36" s="455">
        <f t="shared" si="31"/>
        <v>353.08852652874157</v>
      </c>
      <c r="F36" s="455">
        <f t="shared" si="31"/>
        <v>317.83087976295838</v>
      </c>
      <c r="G36" s="455">
        <f t="shared" si="31"/>
        <v>286.09388451106588</v>
      </c>
      <c r="H36" s="460">
        <f>SUBTOTAL(9,H37:H38)</f>
        <v>639</v>
      </c>
      <c r="I36" s="460">
        <f t="shared" ref="I36:L36" si="32">SUBTOTAL(9,I37:I38)</f>
        <v>188</v>
      </c>
      <c r="J36" s="458">
        <f t="shared" si="32"/>
        <v>-130</v>
      </c>
      <c r="K36" s="201">
        <f t="shared" si="32"/>
        <v>244</v>
      </c>
      <c r="L36" s="201">
        <f t="shared" si="32"/>
        <v>163</v>
      </c>
      <c r="Q36" s="97"/>
      <c r="R36" s="97"/>
      <c r="V36" s="220"/>
    </row>
    <row r="37" spans="1:22" x14ac:dyDescent="0.25">
      <c r="A37" s="119">
        <f t="shared" ca="1" si="0"/>
        <v>3</v>
      </c>
      <c r="B37" s="466" t="s">
        <v>931</v>
      </c>
      <c r="C37" s="455">
        <f>('Balance Sheet (Y)'!C58-'Balance Sheet (Y)'!D58)</f>
        <v>435.77131255112727</v>
      </c>
      <c r="D37" s="455">
        <f>('Balance Sheet (Y)'!D58-'Balance Sheet (Y)'!E58)</f>
        <v>392.25737807232281</v>
      </c>
      <c r="E37" s="455">
        <f>('Balance Sheet (Y)'!E58-'Balance Sheet (Y)'!F58)</f>
        <v>353.08852652874157</v>
      </c>
      <c r="F37" s="455">
        <f>('Balance Sheet (Y)'!F58-'Balance Sheet (Y)'!G58)</f>
        <v>317.83087976295838</v>
      </c>
      <c r="G37" s="455">
        <f>('Balance Sheet (Y)'!G58-'Balance Sheet (Y)'!H58)</f>
        <v>286.09388451106588</v>
      </c>
      <c r="H37" s="460">
        <f>('Balance Sheet (Y)'!H58-'Balance Sheet (Y)'!I58)</f>
        <v>725</v>
      </c>
      <c r="I37" s="460">
        <f>('Balance Sheet (Y)'!I58-'Balance Sheet (Y)'!J58)</f>
        <v>148</v>
      </c>
      <c r="J37" s="458">
        <f>('Balance Sheet (Y)'!J58-'Balance Sheet (Y)'!K58)</f>
        <v>-175</v>
      </c>
      <c r="K37" s="459">
        <v>244</v>
      </c>
      <c r="L37" s="459">
        <v>163</v>
      </c>
      <c r="Q37" s="97"/>
      <c r="R37" s="97"/>
      <c r="V37" s="220"/>
    </row>
    <row r="38" spans="1:22" x14ac:dyDescent="0.25">
      <c r="A38" s="119">
        <f t="shared" ca="1" si="0"/>
        <v>3</v>
      </c>
      <c r="B38" s="466" t="s">
        <v>490</v>
      </c>
      <c r="C38" s="455"/>
      <c r="D38" s="455"/>
      <c r="E38" s="455"/>
      <c r="F38" s="455"/>
      <c r="G38" s="455"/>
      <c r="H38" s="460">
        <v>-86</v>
      </c>
      <c r="I38" s="460">
        <v>40</v>
      </c>
      <c r="J38" s="460">
        <v>45</v>
      </c>
      <c r="K38" s="459">
        <v>0</v>
      </c>
      <c r="L38" s="459">
        <v>0</v>
      </c>
      <c r="Q38" s="97"/>
      <c r="R38" s="97"/>
      <c r="V38" s="220"/>
    </row>
    <row r="39" spans="1:22" x14ac:dyDescent="0.25">
      <c r="A39" s="119">
        <f t="shared" ca="1" si="0"/>
        <v>2</v>
      </c>
      <c r="B39" s="463" t="s">
        <v>445</v>
      </c>
      <c r="C39" s="455">
        <f t="shared" ref="C39:G39" si="33">SUBTOTAL(9,C40:C41)</f>
        <v>57.5</v>
      </c>
      <c r="D39" s="455">
        <f t="shared" si="33"/>
        <v>57.5</v>
      </c>
      <c r="E39" s="455">
        <f t="shared" si="33"/>
        <v>57.5</v>
      </c>
      <c r="F39" s="455">
        <f t="shared" si="33"/>
        <v>57.5</v>
      </c>
      <c r="G39" s="455">
        <f t="shared" si="33"/>
        <v>105.5</v>
      </c>
      <c r="H39" s="460">
        <f>SUBTOTAL(9,H40:H41)</f>
        <v>378</v>
      </c>
      <c r="I39" s="458">
        <f t="shared" ref="I39:L39" si="34">SUBTOTAL(9,I40:I41)</f>
        <v>-195</v>
      </c>
      <c r="J39" s="458">
        <f t="shared" si="34"/>
        <v>-226</v>
      </c>
      <c r="K39" s="201">
        <f t="shared" si="34"/>
        <v>168</v>
      </c>
      <c r="L39" s="201">
        <f t="shared" si="34"/>
        <v>-246</v>
      </c>
      <c r="V39" s="220"/>
    </row>
    <row r="40" spans="1:22" x14ac:dyDescent="0.25">
      <c r="A40" s="119">
        <f t="shared" ca="1" si="0"/>
        <v>3</v>
      </c>
      <c r="B40" s="466" t="s">
        <v>931</v>
      </c>
      <c r="C40" s="287">
        <f>('Balance Sheet (Y)'!C64-'Balance Sheet (Y)'!D64)</f>
        <v>57.5</v>
      </c>
      <c r="D40" s="287">
        <f>('Balance Sheet (Y)'!D64-'Balance Sheet (Y)'!E64)</f>
        <v>57.5</v>
      </c>
      <c r="E40" s="287">
        <f>('Balance Sheet (Y)'!E64-'Balance Sheet (Y)'!F64)</f>
        <v>57.5</v>
      </c>
      <c r="F40" s="287">
        <f>('Balance Sheet (Y)'!F64-'Balance Sheet (Y)'!G64)</f>
        <v>57.5</v>
      </c>
      <c r="G40" s="287">
        <f>('Balance Sheet (Y)'!G64-'Balance Sheet (Y)'!H64)</f>
        <v>105.5</v>
      </c>
      <c r="H40" s="201">
        <f>('Balance Sheet (Y)'!H64-'Balance Sheet (Y)'!I64)</f>
        <v>-55</v>
      </c>
      <c r="I40" s="201">
        <f>('Balance Sheet (Y)'!I64-'Balance Sheet (Y)'!J64)</f>
        <v>107</v>
      </c>
      <c r="J40" s="201">
        <f>('Balance Sheet (Y)'!J64-'Balance Sheet (Y)'!K64)</f>
        <v>104</v>
      </c>
      <c r="K40" s="459">
        <v>168</v>
      </c>
      <c r="L40" s="459">
        <v>-246</v>
      </c>
      <c r="Q40" s="97"/>
      <c r="R40" s="97"/>
      <c r="S40" s="97"/>
      <c r="T40" s="97"/>
    </row>
    <row r="41" spans="1:22" x14ac:dyDescent="0.25">
      <c r="A41" s="119">
        <f t="shared" ca="1" si="0"/>
        <v>3</v>
      </c>
      <c r="B41" s="466" t="s">
        <v>490</v>
      </c>
      <c r="C41" s="455"/>
      <c r="D41" s="455"/>
      <c r="E41" s="455"/>
      <c r="F41" s="455"/>
      <c r="G41" s="455"/>
      <c r="H41" s="234">
        <v>433</v>
      </c>
      <c r="I41" s="234">
        <v>-302</v>
      </c>
      <c r="J41" s="234">
        <v>-330</v>
      </c>
      <c r="K41" s="459">
        <v>0</v>
      </c>
      <c r="L41" s="459">
        <v>0</v>
      </c>
      <c r="Q41" s="97"/>
      <c r="R41" s="97"/>
      <c r="S41" s="97"/>
      <c r="T41" s="97"/>
    </row>
    <row r="42" spans="1:22" ht="30" x14ac:dyDescent="0.25">
      <c r="A42" s="119">
        <f t="shared" ca="1" si="0"/>
        <v>1</v>
      </c>
      <c r="B42" s="465" t="s">
        <v>944</v>
      </c>
      <c r="C42" s="455">
        <f t="shared" ref="C42:F43" si="35">$M42</f>
        <v>245.2</v>
      </c>
      <c r="D42" s="455">
        <f t="shared" si="35"/>
        <v>245.2</v>
      </c>
      <c r="E42" s="455">
        <f t="shared" si="35"/>
        <v>245.2</v>
      </c>
      <c r="F42" s="455">
        <f t="shared" si="35"/>
        <v>245.2</v>
      </c>
      <c r="G42" s="455">
        <f>$M42</f>
        <v>245.2</v>
      </c>
      <c r="H42" s="460">
        <v>241</v>
      </c>
      <c r="I42" s="460">
        <v>200</v>
      </c>
      <c r="J42" s="460">
        <v>292</v>
      </c>
      <c r="K42" s="201">
        <v>282</v>
      </c>
      <c r="L42" s="201">
        <v>211</v>
      </c>
      <c r="M42" s="220">
        <f>AVERAGE(H42:L42)</f>
        <v>245.2</v>
      </c>
      <c r="N42" s="220"/>
      <c r="O42" s="97" t="s">
        <v>1011</v>
      </c>
      <c r="P42" s="97" t="s">
        <v>1066</v>
      </c>
      <c r="V42" s="220"/>
    </row>
    <row r="43" spans="1:22" x14ac:dyDescent="0.25">
      <c r="A43" s="119">
        <f t="shared" ca="1" si="0"/>
        <v>1</v>
      </c>
      <c r="B43" s="465" t="s">
        <v>2</v>
      </c>
      <c r="C43" s="455">
        <f t="shared" si="35"/>
        <v>-10.6</v>
      </c>
      <c r="D43" s="455">
        <f t="shared" si="35"/>
        <v>-10.6</v>
      </c>
      <c r="E43" s="455">
        <f t="shared" si="35"/>
        <v>-10.6</v>
      </c>
      <c r="F43" s="455">
        <f t="shared" si="35"/>
        <v>-10.6</v>
      </c>
      <c r="G43" s="455">
        <f>$M43</f>
        <v>-10.6</v>
      </c>
      <c r="H43" s="458">
        <v>-173</v>
      </c>
      <c r="I43" s="460">
        <v>125</v>
      </c>
      <c r="J43" s="458">
        <v>-36</v>
      </c>
      <c r="K43" s="201">
        <f>20+24</f>
        <v>44</v>
      </c>
      <c r="L43" s="201">
        <f>-25+12</f>
        <v>-13</v>
      </c>
      <c r="M43" s="220">
        <f>AVERAGE(H43:L43)</f>
        <v>-10.6</v>
      </c>
      <c r="N43" s="220"/>
      <c r="O43" s="97" t="s">
        <v>1011</v>
      </c>
      <c r="P43" s="97" t="s">
        <v>1066</v>
      </c>
    </row>
    <row r="44" spans="1:22" x14ac:dyDescent="0.25">
      <c r="A44" s="119">
        <f t="shared" ca="1" si="0"/>
        <v>0</v>
      </c>
      <c r="B44" s="125" t="s">
        <v>287</v>
      </c>
      <c r="C44" s="461">
        <f t="shared" ref="C44:G44" si="36">SUBTOTAL(9,C3:C43)</f>
        <v>2630.6594964388592</v>
      </c>
      <c r="D44" s="461">
        <f t="shared" si="36"/>
        <v>2631.7405179848388</v>
      </c>
      <c r="E44" s="461">
        <f t="shared" si="36"/>
        <v>2645.640087567825</v>
      </c>
      <c r="F44" s="461">
        <f t="shared" si="36"/>
        <v>2666.7136503379215</v>
      </c>
      <c r="G44" s="461">
        <f t="shared" si="36"/>
        <v>3278.7851128236048</v>
      </c>
      <c r="H44" s="461">
        <f>SUBTOTAL(9,H3:H43)</f>
        <v>2277</v>
      </c>
      <c r="I44" s="461">
        <f>SUBTOTAL(9,I3:I43)</f>
        <v>1939</v>
      </c>
      <c r="J44" s="461">
        <f>SUBTOTAL(9,J3:J43)</f>
        <v>2065</v>
      </c>
      <c r="K44" s="461">
        <f>SUBTOTAL(9,K3:K43)</f>
        <v>2266</v>
      </c>
      <c r="L44" s="461">
        <f>SUBTOTAL(9,L3:L43)</f>
        <v>2089</v>
      </c>
    </row>
    <row r="45" spans="1:22" x14ac:dyDescent="0.25">
      <c r="B45" s="90"/>
      <c r="C45" s="90"/>
      <c r="D45" s="90"/>
      <c r="E45" s="90"/>
      <c r="F45" s="90"/>
      <c r="G45" s="90"/>
      <c r="H45" s="103"/>
      <c r="I45" s="103"/>
      <c r="J45" s="103"/>
    </row>
    <row r="46" spans="1:22" x14ac:dyDescent="0.25">
      <c r="A46" s="119">
        <f t="shared" ca="1" si="0"/>
        <v>0</v>
      </c>
      <c r="B46" s="92" t="s">
        <v>446</v>
      </c>
      <c r="C46" s="92"/>
      <c r="D46" s="92"/>
      <c r="E46" s="92"/>
      <c r="F46" s="92"/>
      <c r="G46" s="92"/>
      <c r="H46" s="240"/>
      <c r="I46" s="240"/>
      <c r="J46" s="240"/>
      <c r="K46" s="240"/>
      <c r="L46" s="240"/>
    </row>
    <row r="47" spans="1:22" x14ac:dyDescent="0.25">
      <c r="A47" s="119">
        <f t="shared" ca="1" si="0"/>
        <v>2</v>
      </c>
      <c r="B47" s="462" t="s">
        <v>12</v>
      </c>
      <c r="C47" s="100">
        <f>-'Segment Earnings'!C50</f>
        <v>-617.5</v>
      </c>
      <c r="D47" s="100">
        <f>-'Segment Earnings'!D50</f>
        <v>-660</v>
      </c>
      <c r="E47" s="100">
        <f>-'Segment Earnings'!E50</f>
        <v>-702.5</v>
      </c>
      <c r="F47" s="100">
        <f>-'Segment Earnings'!F50</f>
        <v>-745</v>
      </c>
      <c r="G47" s="100">
        <f>-'Segment Earnings'!G50</f>
        <v>-745</v>
      </c>
      <c r="H47" s="100">
        <f>-'Segment Earnings'!H50</f>
        <v>-506</v>
      </c>
      <c r="I47" s="102">
        <f>-'Segment Earnings'!I50</f>
        <v>-531</v>
      </c>
      <c r="J47" s="102">
        <f>-'Segment Earnings'!J50</f>
        <v>-744</v>
      </c>
      <c r="K47" s="102">
        <f>-'Segment Earnings'!K50</f>
        <v>-743</v>
      </c>
      <c r="L47" s="102">
        <f>-'Segment Earnings'!L50</f>
        <v>-676</v>
      </c>
    </row>
    <row r="48" spans="1:22" x14ac:dyDescent="0.25">
      <c r="A48" s="119">
        <f t="shared" ca="1" si="0"/>
        <v>2</v>
      </c>
      <c r="B48" s="462" t="s">
        <v>447</v>
      </c>
      <c r="C48" s="100">
        <f t="shared" ref="C48:F48" si="37">D48*$M48</f>
        <v>-108.7342404226157</v>
      </c>
      <c r="D48" s="100">
        <f t="shared" si="37"/>
        <v>-102.51562499999997</v>
      </c>
      <c r="E48" s="100">
        <f t="shared" si="37"/>
        <v>-96.652658153436192</v>
      </c>
      <c r="F48" s="100">
        <f t="shared" si="37"/>
        <v>-91.124999999999986</v>
      </c>
      <c r="G48" s="100">
        <f>H48*$M48</f>
        <v>-85.913473914165522</v>
      </c>
      <c r="H48" s="100">
        <v>-81</v>
      </c>
      <c r="I48" s="102">
        <v>-63</v>
      </c>
      <c r="J48" s="102">
        <v>-55</v>
      </c>
      <c r="K48" s="201">
        <v>-55</v>
      </c>
      <c r="L48" s="201">
        <v>-64</v>
      </c>
      <c r="M48" s="288">
        <f>(H48/L48)^(1/4)</f>
        <v>1.0606601717798212</v>
      </c>
      <c r="N48" s="288"/>
      <c r="O48" s="97" t="s">
        <v>1012</v>
      </c>
      <c r="P48" s="97" t="s">
        <v>1067</v>
      </c>
    </row>
    <row r="49" spans="1:23" ht="30" x14ac:dyDescent="0.25">
      <c r="A49" s="119">
        <f t="shared" ca="1" si="0"/>
        <v>2</v>
      </c>
      <c r="B49" s="462" t="s">
        <v>513</v>
      </c>
      <c r="C49" s="199">
        <f t="shared" ref="C49:F49" si="38">$M49</f>
        <v>49.666666666666664</v>
      </c>
      <c r="D49" s="199">
        <f t="shared" si="38"/>
        <v>49.666666666666664</v>
      </c>
      <c r="E49" s="199">
        <f t="shared" si="38"/>
        <v>49.666666666666664</v>
      </c>
      <c r="F49" s="199">
        <f t="shared" si="38"/>
        <v>49.666666666666664</v>
      </c>
      <c r="G49" s="199">
        <f>$M49</f>
        <v>49.666666666666664</v>
      </c>
      <c r="H49" s="103">
        <v>110</v>
      </c>
      <c r="I49" s="103">
        <v>14</v>
      </c>
      <c r="J49" s="103">
        <v>25</v>
      </c>
      <c r="M49" s="220">
        <f>AVERAGE(H49:J49)</f>
        <v>49.666666666666664</v>
      </c>
      <c r="N49" s="220"/>
      <c r="O49" s="97" t="s">
        <v>1011</v>
      </c>
    </row>
    <row r="50" spans="1:23" ht="30" x14ac:dyDescent="0.25">
      <c r="A50" s="119">
        <f t="shared" ca="1" si="0"/>
        <v>2</v>
      </c>
      <c r="B50" s="462" t="s">
        <v>448</v>
      </c>
      <c r="C50" s="100">
        <f t="shared" ref="C50:F50" si="39">$M50*C$1+$N50</f>
        <v>-215</v>
      </c>
      <c r="D50" s="100">
        <f t="shared" si="39"/>
        <v>-185.5</v>
      </c>
      <c r="E50" s="100">
        <f t="shared" si="39"/>
        <v>-156</v>
      </c>
      <c r="F50" s="100">
        <f t="shared" si="39"/>
        <v>-126.5</v>
      </c>
      <c r="G50" s="100">
        <f>$M50*G$1+$N50</f>
        <v>-97</v>
      </c>
      <c r="H50" s="102">
        <v>-66</v>
      </c>
      <c r="I50" s="102">
        <v>-41</v>
      </c>
      <c r="J50" s="102">
        <v>-7</v>
      </c>
      <c r="K50" s="201">
        <v>-60</v>
      </c>
      <c r="L50" s="201">
        <v>-42</v>
      </c>
      <c r="M50" s="97">
        <f>SLOPE(H50:J50,$H$1:$J$1)</f>
        <v>-29.5</v>
      </c>
      <c r="N50" s="97">
        <f>INTERCEPT(H50:J50, $H$1:$J$1)</f>
        <v>59434</v>
      </c>
      <c r="O50" s="97" t="s">
        <v>1044</v>
      </c>
      <c r="Q50" s="97"/>
      <c r="R50" s="97"/>
      <c r="S50" s="97"/>
      <c r="T50" s="242"/>
    </row>
    <row r="51" spans="1:23" ht="30" x14ac:dyDescent="0.25">
      <c r="A51" s="119">
        <f t="shared" ca="1" si="0"/>
        <v>2</v>
      </c>
      <c r="B51" s="462" t="s">
        <v>519</v>
      </c>
      <c r="C51" s="100">
        <f>'N18 Acquisitions'!C48</f>
        <v>-291.2</v>
      </c>
      <c r="D51" s="100">
        <f>'N18 Acquisitions'!D48</f>
        <v>-291.2</v>
      </c>
      <c r="E51" s="100">
        <f>'N18 Acquisitions'!E48</f>
        <v>-291.2</v>
      </c>
      <c r="F51" s="100">
        <f>'N18 Acquisitions'!F48</f>
        <v>-291.2</v>
      </c>
      <c r="G51" s="100">
        <f>'N18 Acquisitions'!G48</f>
        <v>-291.2</v>
      </c>
      <c r="H51" s="102">
        <f>'N18 Acquisitions'!H48</f>
        <v>-662</v>
      </c>
      <c r="I51" s="102">
        <f>'N18 Acquisitions'!I48</f>
        <v>-94</v>
      </c>
      <c r="J51" s="102">
        <f>'N18 Acquisitions'!J48</f>
        <v>-117</v>
      </c>
      <c r="K51" s="102">
        <f>'N18 Acquisitions'!K48</f>
        <v>-436</v>
      </c>
      <c r="L51" s="102">
        <f>'N18 Acquisitions'!L48</f>
        <v>-147</v>
      </c>
      <c r="N51" s="97" t="s">
        <v>1139</v>
      </c>
    </row>
    <row r="52" spans="1:23" ht="30" x14ac:dyDescent="0.25">
      <c r="A52" s="119">
        <f t="shared" ca="1" si="0"/>
        <v>2</v>
      </c>
      <c r="B52" s="462" t="s">
        <v>719</v>
      </c>
      <c r="C52" s="102">
        <f>-'N4 Mkt Securities'!B29</f>
        <v>-162.09999999999854</v>
      </c>
      <c r="D52" s="102">
        <f>-'N4 Mkt Securities'!C29</f>
        <v>-185.80000000000291</v>
      </c>
      <c r="E52" s="102">
        <f>-'N4 Mkt Securities'!D29</f>
        <v>-209.5</v>
      </c>
      <c r="F52" s="102">
        <f>-'N4 Mkt Securities'!E29</f>
        <v>-233.20000000000437</v>
      </c>
      <c r="G52" s="102">
        <f>-'N4 Mkt Securities'!F29</f>
        <v>-256.90000000000146</v>
      </c>
      <c r="H52" s="102">
        <f>-'N4 Mkt Securities'!G29</f>
        <v>-194</v>
      </c>
      <c r="I52" s="102">
        <f>-'N4 Mkt Securities'!H29</f>
        <v>-478</v>
      </c>
      <c r="J52" s="102">
        <f>-'N4 Mkt Securities'!I29</f>
        <v>-282</v>
      </c>
      <c r="K52" s="102">
        <f>-'N4 Mkt Securities'!J29</f>
        <v>-275</v>
      </c>
      <c r="L52" s="102">
        <f>-'N4 Mkt Securities'!K29</f>
        <v>-418</v>
      </c>
      <c r="O52" s="97" t="s">
        <v>1020</v>
      </c>
    </row>
    <row r="53" spans="1:23" ht="30" x14ac:dyDescent="0.25">
      <c r="A53" s="119">
        <f t="shared" ca="1" si="0"/>
        <v>2</v>
      </c>
      <c r="B53" s="462" t="s">
        <v>720</v>
      </c>
      <c r="C53" s="103">
        <f>'N4 Mkt Securities'!B36</f>
        <v>-42.999999999985448</v>
      </c>
      <c r="D53" s="103">
        <f>'N4 Mkt Securities'!C36</f>
        <v>11.800000000017462</v>
      </c>
      <c r="E53" s="103">
        <f>'N4 Mkt Securities'!D36</f>
        <v>66.600000000005821</v>
      </c>
      <c r="F53" s="103">
        <f>'N4 Mkt Securities'!E36</f>
        <v>121.40000000000873</v>
      </c>
      <c r="G53" s="103">
        <f>'N4 Mkt Securities'!F36</f>
        <v>176.20000000001164</v>
      </c>
      <c r="H53" s="103">
        <f>'N4 Mkt Securities'!G36</f>
        <v>266</v>
      </c>
      <c r="I53" s="103">
        <f>'N4 Mkt Securities'!H36</f>
        <v>306</v>
      </c>
      <c r="J53" s="103">
        <f>'N4 Mkt Securities'!I36</f>
        <v>270</v>
      </c>
      <c r="K53" s="103">
        <f>'N4 Mkt Securities'!J36</f>
        <v>336</v>
      </c>
      <c r="L53" s="103">
        <f>'N4 Mkt Securities'!K36</f>
        <v>525</v>
      </c>
    </row>
    <row r="54" spans="1:23" ht="30" x14ac:dyDescent="0.25">
      <c r="A54" s="119">
        <f t="shared" ca="1" si="0"/>
        <v>2</v>
      </c>
      <c r="B54" s="462" t="s">
        <v>517</v>
      </c>
      <c r="C54" s="199">
        <f t="shared" ref="C54:G55" si="40">$M54</f>
        <v>0</v>
      </c>
      <c r="D54" s="199">
        <f t="shared" si="40"/>
        <v>0</v>
      </c>
      <c r="E54" s="199">
        <f t="shared" si="40"/>
        <v>0</v>
      </c>
      <c r="F54" s="199">
        <f t="shared" si="40"/>
        <v>0</v>
      </c>
      <c r="G54" s="199">
        <f t="shared" si="40"/>
        <v>0</v>
      </c>
      <c r="H54" s="102">
        <v>0</v>
      </c>
      <c r="I54" s="103">
        <v>60</v>
      </c>
      <c r="J54" s="102">
        <v>0</v>
      </c>
      <c r="K54" s="102">
        <v>0</v>
      </c>
      <c r="L54" s="102">
        <v>0</v>
      </c>
      <c r="M54" s="97">
        <v>0</v>
      </c>
      <c r="O54" s="97" t="s">
        <v>1017</v>
      </c>
    </row>
    <row r="55" spans="1:23" ht="30" x14ac:dyDescent="0.25">
      <c r="A55" s="119">
        <f t="shared" ca="1" si="0"/>
        <v>2</v>
      </c>
      <c r="B55" s="463" t="s">
        <v>518</v>
      </c>
      <c r="C55" s="199">
        <f t="shared" si="40"/>
        <v>-6.2</v>
      </c>
      <c r="D55" s="199">
        <f t="shared" si="40"/>
        <v>-6.2</v>
      </c>
      <c r="E55" s="199">
        <f t="shared" si="40"/>
        <v>-6.2</v>
      </c>
      <c r="F55" s="199">
        <f t="shared" si="40"/>
        <v>-6.2</v>
      </c>
      <c r="G55" s="199">
        <f t="shared" si="40"/>
        <v>-6.2</v>
      </c>
      <c r="H55" s="103">
        <v>76</v>
      </c>
      <c r="I55" s="102">
        <v>-102</v>
      </c>
      <c r="J55" s="103">
        <v>8</v>
      </c>
      <c r="K55" s="201">
        <v>-14</v>
      </c>
      <c r="L55" s="201">
        <v>1</v>
      </c>
      <c r="M55" s="220">
        <f>AVERAGE(H55:L55)</f>
        <v>-6.2</v>
      </c>
      <c r="N55" s="220"/>
      <c r="O55" s="97" t="s">
        <v>1011</v>
      </c>
    </row>
    <row r="56" spans="1:23" x14ac:dyDescent="0.25">
      <c r="A56" s="119">
        <f t="shared" ca="1" si="0"/>
        <v>2</v>
      </c>
      <c r="B56" s="463" t="s">
        <v>2</v>
      </c>
      <c r="C56" s="121"/>
      <c r="D56" s="121"/>
      <c r="E56" s="121"/>
      <c r="F56" s="121"/>
      <c r="G56" s="121"/>
      <c r="H56" s="103">
        <v>5</v>
      </c>
      <c r="I56" s="103">
        <v>12</v>
      </c>
      <c r="J56" s="102">
        <v>-16</v>
      </c>
      <c r="K56" s="201">
        <v>13</v>
      </c>
      <c r="L56" s="201">
        <v>-25</v>
      </c>
    </row>
    <row r="57" spans="1:23" x14ac:dyDescent="0.25">
      <c r="A57" s="119">
        <f t="shared" ca="1" si="0"/>
        <v>0</v>
      </c>
      <c r="B57" s="90" t="s">
        <v>385</v>
      </c>
      <c r="C57" s="126">
        <f t="shared" ref="C57:G57" si="41">SUBTOTAL(9,C47:C56)</f>
        <v>-1394.0675737559332</v>
      </c>
      <c r="D57" s="126">
        <f t="shared" si="41"/>
        <v>-1369.7489583333188</v>
      </c>
      <c r="E57" s="126">
        <f t="shared" si="41"/>
        <v>-1345.7859914867638</v>
      </c>
      <c r="F57" s="126">
        <f t="shared" si="41"/>
        <v>-1322.158333333329</v>
      </c>
      <c r="G57" s="126">
        <f t="shared" si="41"/>
        <v>-1256.3468072474886</v>
      </c>
      <c r="H57" s="126">
        <f>SUBTOTAL(9,H47:H56)</f>
        <v>-1052</v>
      </c>
      <c r="I57" s="126">
        <f t="shared" ref="I57:J57" si="42">SUBTOTAL(9,I47:I56)</f>
        <v>-917</v>
      </c>
      <c r="J57" s="126">
        <f t="shared" si="42"/>
        <v>-918</v>
      </c>
      <c r="K57" s="126">
        <v>-1234</v>
      </c>
      <c r="L57" s="126">
        <v>-846</v>
      </c>
    </row>
    <row r="58" spans="1:23" x14ac:dyDescent="0.25">
      <c r="B58" s="90"/>
      <c r="C58" s="90"/>
      <c r="D58" s="90"/>
      <c r="E58" s="90"/>
      <c r="F58" s="90"/>
      <c r="G58" s="90"/>
      <c r="H58" s="104"/>
      <c r="I58" s="102"/>
      <c r="J58" s="102"/>
    </row>
    <row r="59" spans="1:23" x14ac:dyDescent="0.25">
      <c r="A59" s="119">
        <f t="shared" ca="1" si="0"/>
        <v>0</v>
      </c>
      <c r="B59" s="92" t="s">
        <v>449</v>
      </c>
      <c r="C59" s="92"/>
      <c r="D59" s="92"/>
      <c r="E59" s="92"/>
      <c r="F59" s="92"/>
      <c r="G59" s="92"/>
      <c r="H59" s="102"/>
      <c r="I59" s="102"/>
      <c r="J59" s="102"/>
      <c r="K59" s="102"/>
      <c r="L59" s="102"/>
    </row>
    <row r="60" spans="1:23" x14ac:dyDescent="0.25">
      <c r="A60" s="119">
        <f t="shared" ca="1" si="0"/>
        <v>0</v>
      </c>
      <c r="B60" s="90" t="s">
        <v>450</v>
      </c>
      <c r="C60" s="103">
        <f t="shared" ref="C60:E60" si="43">$M60</f>
        <v>54</v>
      </c>
      <c r="D60" s="103">
        <f t="shared" si="43"/>
        <v>54</v>
      </c>
      <c r="E60" s="103">
        <f t="shared" si="43"/>
        <v>54</v>
      </c>
      <c r="F60" s="103">
        <f>$M60</f>
        <v>54</v>
      </c>
      <c r="G60" s="103">
        <f>$M60</f>
        <v>54</v>
      </c>
      <c r="H60" s="103">
        <v>6</v>
      </c>
      <c r="I60" s="103">
        <v>111</v>
      </c>
      <c r="J60" s="103">
        <v>44</v>
      </c>
      <c r="K60" s="201">
        <v>55</v>
      </c>
      <c r="L60" s="201">
        <v>1004</v>
      </c>
      <c r="M60" s="220">
        <f>AVERAGE(H60:K60)</f>
        <v>54</v>
      </c>
      <c r="N60" s="220"/>
      <c r="O60" s="97" t="s">
        <v>1068</v>
      </c>
    </row>
    <row r="61" spans="1:23" x14ac:dyDescent="0.25">
      <c r="A61" s="119">
        <f t="shared" ca="1" si="0"/>
        <v>2</v>
      </c>
      <c r="B61" s="463" t="s">
        <v>451</v>
      </c>
      <c r="C61" s="199">
        <f t="shared" ref="C61:G63" si="44">$M61</f>
        <v>99.333333333333329</v>
      </c>
      <c r="D61" s="199">
        <f t="shared" si="44"/>
        <v>99.333333333333329</v>
      </c>
      <c r="E61" s="199">
        <f t="shared" si="44"/>
        <v>99.333333333333329</v>
      </c>
      <c r="F61" s="199">
        <f t="shared" si="44"/>
        <v>99.333333333333329</v>
      </c>
      <c r="G61" s="199">
        <f t="shared" si="44"/>
        <v>99.333333333333329</v>
      </c>
      <c r="H61" s="103">
        <v>86</v>
      </c>
      <c r="I61" s="103">
        <v>212</v>
      </c>
      <c r="J61" s="102">
        <v>0</v>
      </c>
      <c r="M61" s="220">
        <f>AVERAGE(H61:J61)</f>
        <v>99.333333333333329</v>
      </c>
      <c r="N61" s="220"/>
      <c r="O61" s="97" t="s">
        <v>1011</v>
      </c>
    </row>
    <row r="62" spans="1:23" ht="30" x14ac:dyDescent="0.25">
      <c r="A62" s="119">
        <f t="shared" ca="1" si="0"/>
        <v>2</v>
      </c>
      <c r="B62" s="463" t="s">
        <v>529</v>
      </c>
      <c r="C62" s="100">
        <f t="shared" ref="C62:F62" si="45">$M62*C$1+$N62</f>
        <v>-30.66666666666606</v>
      </c>
      <c r="D62" s="100">
        <f t="shared" si="45"/>
        <v>-37.66666666666606</v>
      </c>
      <c r="E62" s="100">
        <f t="shared" si="45"/>
        <v>-44.66666666666606</v>
      </c>
      <c r="F62" s="100">
        <f t="shared" si="45"/>
        <v>-51.66666666666606</v>
      </c>
      <c r="G62" s="100">
        <f>$M62*G$1+$N62</f>
        <v>-58.66666666666606</v>
      </c>
      <c r="H62" s="102">
        <v>-60</v>
      </c>
      <c r="I62" s="102">
        <v>-163</v>
      </c>
      <c r="J62" s="102">
        <v>-76</v>
      </c>
      <c r="K62" s="201">
        <v>-94</v>
      </c>
      <c r="L62" s="201">
        <v>-90</v>
      </c>
      <c r="M62" s="97">
        <f>SLOPE(J62:L62,$J$1:$L$1)</f>
        <v>7</v>
      </c>
      <c r="N62" s="97">
        <f>INTERCEPT(J62:L62, $J$1:$L$1)</f>
        <v>-14184.666666666666</v>
      </c>
      <c r="O62" s="97" t="s">
        <v>1044</v>
      </c>
    </row>
    <row r="63" spans="1:23" ht="30" x14ac:dyDescent="0.25">
      <c r="A63" s="119">
        <f t="shared" ca="1" si="0"/>
        <v>2</v>
      </c>
      <c r="B63" s="463" t="s">
        <v>530</v>
      </c>
      <c r="C63" s="100">
        <f t="shared" si="44"/>
        <v>-10.6</v>
      </c>
      <c r="D63" s="100">
        <f t="shared" si="44"/>
        <v>-10.6</v>
      </c>
      <c r="E63" s="100">
        <f t="shared" si="44"/>
        <v>-10.6</v>
      </c>
      <c r="F63" s="100">
        <f t="shared" si="44"/>
        <v>-10.6</v>
      </c>
      <c r="G63" s="100">
        <f t="shared" si="44"/>
        <v>-10.6</v>
      </c>
      <c r="H63" s="103">
        <v>12</v>
      </c>
      <c r="I63" s="103">
        <v>19</v>
      </c>
      <c r="J63" s="102">
        <v>-41</v>
      </c>
      <c r="K63" s="201">
        <v>-40</v>
      </c>
      <c r="L63" s="201">
        <v>-3</v>
      </c>
      <c r="M63" s="220">
        <f>AVERAGE(H63:L63)</f>
        <v>-10.6</v>
      </c>
      <c r="N63" s="220"/>
      <c r="O63" s="97" t="s">
        <v>1011</v>
      </c>
      <c r="U63"/>
      <c r="V63"/>
      <c r="W63"/>
    </row>
    <row r="64" spans="1:23" x14ac:dyDescent="0.25">
      <c r="A64" s="119">
        <f t="shared" ca="1" si="0"/>
        <v>2</v>
      </c>
      <c r="B64" s="463" t="s">
        <v>452</v>
      </c>
      <c r="C64" s="100">
        <f t="shared" ref="C64:F64" si="46">$M64*C$1+$N64</f>
        <v>16.799999999999272</v>
      </c>
      <c r="D64" s="100">
        <f t="shared" si="46"/>
        <v>5.7999999999992724</v>
      </c>
      <c r="E64" s="100">
        <f t="shared" si="46"/>
        <v>-5.2000000000007276</v>
      </c>
      <c r="F64" s="100">
        <f t="shared" si="46"/>
        <v>-16.200000000000728</v>
      </c>
      <c r="G64" s="100">
        <f>$M64*G$1+$N64</f>
        <v>-27.200000000000728</v>
      </c>
      <c r="H64" s="102">
        <v>-29</v>
      </c>
      <c r="I64" s="102">
        <v>-65</v>
      </c>
      <c r="J64" s="102">
        <v>-49</v>
      </c>
      <c r="K64" s="201">
        <v>-83</v>
      </c>
      <c r="L64" s="201">
        <v>-75</v>
      </c>
      <c r="M64" s="97">
        <f>SLOPE(H64:L64,$H$1:$L$1)</f>
        <v>11</v>
      </c>
      <c r="N64" s="97">
        <f>INTERCEPT(H64:L64, $H$1:$L$1)</f>
        <v>-22225.200000000001</v>
      </c>
      <c r="O64" s="97" t="s">
        <v>1020</v>
      </c>
    </row>
    <row r="65" spans="1:20" ht="30" x14ac:dyDescent="0.25">
      <c r="A65" s="119">
        <f t="shared" ca="1" si="0"/>
        <v>2</v>
      </c>
      <c r="B65" s="463" t="s">
        <v>514</v>
      </c>
      <c r="C65" s="100">
        <f t="shared" ref="C65:F65" si="47">-$M65*(C44+C57)</f>
        <v>-639.3457268272457</v>
      </c>
      <c r="D65" s="100">
        <f t="shared" si="47"/>
        <v>-652.4779081563953</v>
      </c>
      <c r="E65" s="100">
        <f t="shared" si="47"/>
        <v>-672.05368770745997</v>
      </c>
      <c r="F65" s="100">
        <f t="shared" si="47"/>
        <v>-695.16522034582124</v>
      </c>
      <c r="G65" s="100">
        <f>-$M65*(G44+G57)</f>
        <v>-1045.6459117381542</v>
      </c>
      <c r="H65" s="102">
        <v>-701</v>
      </c>
      <c r="I65" s="102">
        <v>-676</v>
      </c>
      <c r="J65" s="102">
        <v>-622</v>
      </c>
      <c r="K65" s="201">
        <v>-512</v>
      </c>
      <c r="L65" s="201">
        <v>-420</v>
      </c>
      <c r="M65" s="288">
        <f>-SUM(H65:L65)/SUM(H88:L88)</f>
        <v>0.51702240254013054</v>
      </c>
      <c r="N65" s="288"/>
      <c r="O65" s="97" t="s">
        <v>1029</v>
      </c>
      <c r="Q65" s="289">
        <f>G65-H65</f>
        <v>-344.64591173815415</v>
      </c>
      <c r="R65" s="97"/>
      <c r="S65" s="97"/>
      <c r="T65" s="97"/>
    </row>
    <row r="66" spans="1:20" x14ac:dyDescent="0.25">
      <c r="A66" s="119">
        <f t="shared" ca="1" si="0"/>
        <v>2</v>
      </c>
      <c r="B66" s="463" t="s">
        <v>453</v>
      </c>
      <c r="C66" s="102">
        <f t="shared" ref="C66:G66" si="48">$M66</f>
        <v>-636</v>
      </c>
      <c r="D66" s="102">
        <f t="shared" si="48"/>
        <v>-636</v>
      </c>
      <c r="E66" s="102">
        <f t="shared" si="48"/>
        <v>-636</v>
      </c>
      <c r="F66" s="102">
        <f t="shared" si="48"/>
        <v>-636</v>
      </c>
      <c r="G66" s="102">
        <f t="shared" si="48"/>
        <v>-636</v>
      </c>
      <c r="H66" s="102">
        <v>-451</v>
      </c>
      <c r="I66" s="102">
        <v>-778</v>
      </c>
      <c r="J66" s="102">
        <v>-900</v>
      </c>
      <c r="K66" s="201">
        <v>-670</v>
      </c>
      <c r="L66" s="201">
        <v>-381</v>
      </c>
      <c r="M66" s="220">
        <f>AVERAGE(H66:L66)</f>
        <v>-636</v>
      </c>
      <c r="N66" s="220"/>
      <c r="O66" s="97" t="s">
        <v>1011</v>
      </c>
      <c r="Q66" s="289">
        <f>G66-H66</f>
        <v>-185</v>
      </c>
      <c r="R66" s="97"/>
      <c r="S66" s="97"/>
      <c r="T66" s="97"/>
    </row>
    <row r="67" spans="1:20" ht="30" x14ac:dyDescent="0.25">
      <c r="A67" s="119">
        <f t="shared" ca="1" si="0"/>
        <v>2</v>
      </c>
      <c r="B67" s="464" t="s">
        <v>639</v>
      </c>
      <c r="C67" s="102">
        <f>-'N18 Acquisitions'!C35</f>
        <v>0</v>
      </c>
      <c r="D67" s="102">
        <f>-'N18 Acquisitions'!D35</f>
        <v>0</v>
      </c>
      <c r="E67" s="102">
        <f>-'N18 Acquisitions'!E35</f>
        <v>0</v>
      </c>
      <c r="F67" s="102">
        <f>-'N18 Acquisitions'!F35</f>
        <v>0</v>
      </c>
      <c r="G67" s="102">
        <f>-'N18 Acquisitions'!G35</f>
        <v>0</v>
      </c>
      <c r="H67" s="102">
        <f>-'N18 Acquisitions'!H35</f>
        <v>0</v>
      </c>
      <c r="I67" s="102">
        <f>-'N18 Acquisitions'!I35</f>
        <v>-98</v>
      </c>
      <c r="J67" s="102">
        <f>-'N18 Acquisitions'!J35</f>
        <v>-8</v>
      </c>
      <c r="K67" s="102">
        <f>-'N18 Acquisitions'!K35</f>
        <v>-14</v>
      </c>
      <c r="L67" s="102">
        <f>-'N18 Acquisitions'!L35</f>
        <v>-36</v>
      </c>
      <c r="O67" s="97" t="s">
        <v>1037</v>
      </c>
      <c r="Q67" s="97"/>
      <c r="R67" s="97"/>
      <c r="S67" s="97"/>
      <c r="T67" s="97"/>
    </row>
    <row r="68" spans="1:20" x14ac:dyDescent="0.25">
      <c r="A68" s="119">
        <f t="shared" ref="A68:A69" ca="1" si="49">IndentLevel(B68)</f>
        <v>2</v>
      </c>
      <c r="B68" s="463" t="s">
        <v>2</v>
      </c>
      <c r="C68" s="102">
        <f t="shared" ref="C68:F68" si="50">C66*$M68</f>
        <v>31.6</v>
      </c>
      <c r="D68" s="102">
        <f t="shared" si="50"/>
        <v>31.6</v>
      </c>
      <c r="E68" s="102">
        <f t="shared" si="50"/>
        <v>31.6</v>
      </c>
      <c r="F68" s="102">
        <f t="shared" si="50"/>
        <v>31.6</v>
      </c>
      <c r="G68" s="102">
        <f>G66*$M68</f>
        <v>31.6</v>
      </c>
      <c r="H68" s="103">
        <v>63</v>
      </c>
      <c r="I68" s="103">
        <v>25</v>
      </c>
      <c r="J68" s="103">
        <f>4-2</f>
        <v>2</v>
      </c>
      <c r="K68" s="201">
        <f>1+14</f>
        <v>15</v>
      </c>
      <c r="L68" s="201">
        <f>17+36</f>
        <v>53</v>
      </c>
      <c r="M68" s="97">
        <f>SUM(H68:L68)/SUM(H66:L66)</f>
        <v>-4.9685534591194971E-2</v>
      </c>
      <c r="O68" s="97" t="s">
        <v>1029</v>
      </c>
      <c r="Q68" s="97"/>
      <c r="R68" s="97"/>
      <c r="S68" s="97"/>
      <c r="T68" s="97"/>
    </row>
    <row r="69" spans="1:20" x14ac:dyDescent="0.25">
      <c r="A69" s="119">
        <f t="shared" ca="1" si="49"/>
        <v>0</v>
      </c>
      <c r="B69" s="90" t="s">
        <v>386</v>
      </c>
      <c r="C69" s="126">
        <f t="shared" ref="C69:G69" si="51">SUBTOTAL(9,C60:C68)</f>
        <v>-1114.8790601605792</v>
      </c>
      <c r="D69" s="126">
        <f t="shared" si="51"/>
        <v>-1146.0112414897289</v>
      </c>
      <c r="E69" s="126">
        <f t="shared" si="51"/>
        <v>-1183.5870210407934</v>
      </c>
      <c r="F69" s="126">
        <f t="shared" si="51"/>
        <v>-1224.6985536791549</v>
      </c>
      <c r="G69" s="126">
        <f t="shared" si="51"/>
        <v>-1593.1792450714877</v>
      </c>
      <c r="H69" s="126">
        <f>SUBTOTAL(9,H60:H68)</f>
        <v>-1074</v>
      </c>
      <c r="I69" s="126">
        <f>SUBTOTAL(9,I60:I68)</f>
        <v>-1413</v>
      </c>
      <c r="J69" s="126">
        <f>SUBTOTAL(9,J60:J68)</f>
        <v>-1650</v>
      </c>
      <c r="K69" s="126">
        <f>SUBTOTAL(9,K60:K68)</f>
        <v>-1343</v>
      </c>
      <c r="L69" s="126">
        <f>SUBTOTAL(9,L60:L68)</f>
        <v>52</v>
      </c>
      <c r="Q69" s="97"/>
      <c r="R69" s="97"/>
      <c r="S69" s="97"/>
      <c r="T69" s="97"/>
    </row>
    <row r="70" spans="1:20" x14ac:dyDescent="0.25">
      <c r="B70" s="97"/>
      <c r="C70" s="97"/>
      <c r="D70" s="97"/>
      <c r="E70" s="97"/>
      <c r="F70" s="97"/>
      <c r="G70" s="97"/>
      <c r="H70" s="201"/>
      <c r="I70" s="201"/>
      <c r="J70" s="201"/>
      <c r="Q70" s="97"/>
      <c r="R70" s="97"/>
      <c r="S70" s="97"/>
      <c r="T70" s="97"/>
    </row>
    <row r="71" spans="1:20" x14ac:dyDescent="0.25">
      <c r="A71" s="119">
        <f t="shared" ref="A71:A73" ca="1" si="52">IndentLevel(B71)</f>
        <v>0</v>
      </c>
      <c r="B71" s="92" t="s">
        <v>531</v>
      </c>
      <c r="C71" s="92"/>
      <c r="D71" s="92"/>
      <c r="E71" s="92"/>
      <c r="F71" s="92"/>
      <c r="G71" s="92"/>
      <c r="H71" s="185">
        <v>98</v>
      </c>
      <c r="I71" s="192">
        <v>-200</v>
      </c>
      <c r="J71" s="192">
        <v>-87</v>
      </c>
      <c r="K71" s="201">
        <v>-87</v>
      </c>
      <c r="L71" s="201">
        <v>35</v>
      </c>
      <c r="P71" s="97" t="s">
        <v>1069</v>
      </c>
      <c r="Q71" s="97"/>
      <c r="R71" s="97"/>
      <c r="S71" s="97"/>
      <c r="T71" s="97"/>
    </row>
    <row r="72" spans="1:20" x14ac:dyDescent="0.25">
      <c r="A72" s="119">
        <f ca="1">IndentLevel(B72)</f>
        <v>1</v>
      </c>
      <c r="B72" s="120" t="s">
        <v>516</v>
      </c>
      <c r="C72" s="247">
        <f t="shared" ref="C72:G72" si="53">C44+C57+C69+C71</f>
        <v>121.71286252234677</v>
      </c>
      <c r="D72" s="247">
        <f t="shared" si="53"/>
        <v>115.98031816179105</v>
      </c>
      <c r="E72" s="247">
        <f t="shared" si="53"/>
        <v>116.26707504026786</v>
      </c>
      <c r="F72" s="247">
        <f t="shared" si="53"/>
        <v>119.85676332543767</v>
      </c>
      <c r="G72" s="247">
        <f t="shared" si="53"/>
        <v>429.25906050462845</v>
      </c>
      <c r="H72" s="247">
        <f>H44+H57+H69+H71</f>
        <v>249</v>
      </c>
      <c r="I72" s="247">
        <f t="shared" ref="I72:L72" si="54">I44+I57+I69+I71</f>
        <v>-591</v>
      </c>
      <c r="J72" s="247">
        <f t="shared" si="54"/>
        <v>-590</v>
      </c>
      <c r="K72" s="247">
        <f t="shared" si="54"/>
        <v>-398</v>
      </c>
      <c r="L72" s="247">
        <f t="shared" si="54"/>
        <v>1330</v>
      </c>
      <c r="Q72" s="97"/>
      <c r="R72" s="97"/>
      <c r="S72" s="97"/>
      <c r="T72" s="97"/>
    </row>
    <row r="73" spans="1:20" x14ac:dyDescent="0.25">
      <c r="A73" s="119">
        <f t="shared" ca="1" si="52"/>
        <v>1</v>
      </c>
      <c r="B73" s="120" t="s">
        <v>515</v>
      </c>
      <c r="C73" s="127">
        <f t="shared" ref="C73:K73" si="55">D74</f>
        <v>2150.3632170321252</v>
      </c>
      <c r="D73" s="127">
        <f t="shared" si="55"/>
        <v>2034.382898870334</v>
      </c>
      <c r="E73" s="127">
        <f t="shared" si="55"/>
        <v>1918.1158238300661</v>
      </c>
      <c r="F73" s="127">
        <f t="shared" si="55"/>
        <v>1798.2590605046285</v>
      </c>
      <c r="G73" s="127">
        <f t="shared" si="55"/>
        <v>1369</v>
      </c>
      <c r="H73" s="127">
        <f t="shared" si="55"/>
        <v>1120</v>
      </c>
      <c r="I73" s="127">
        <f t="shared" si="55"/>
        <v>1711</v>
      </c>
      <c r="J73" s="127">
        <f t="shared" si="55"/>
        <v>2301</v>
      </c>
      <c r="K73" s="127">
        <f t="shared" si="55"/>
        <v>2699</v>
      </c>
      <c r="L73" s="127">
        <v>1369</v>
      </c>
      <c r="Q73" s="97"/>
      <c r="R73" s="97"/>
      <c r="S73" s="97"/>
      <c r="T73" s="97"/>
    </row>
    <row r="74" spans="1:20" x14ac:dyDescent="0.25">
      <c r="A74" s="119">
        <f t="shared" ref="A74" ca="1" si="56">IndentLevel(B74)</f>
        <v>0</v>
      </c>
      <c r="B74" s="92" t="s">
        <v>454</v>
      </c>
      <c r="C74" s="101">
        <f t="shared" ref="C74:H74" si="57">SUM(C72:C73)</f>
        <v>2272.076079554472</v>
      </c>
      <c r="D74" s="101">
        <f t="shared" si="57"/>
        <v>2150.3632170321252</v>
      </c>
      <c r="E74" s="101">
        <f t="shared" si="57"/>
        <v>2034.382898870334</v>
      </c>
      <c r="F74" s="101">
        <f t="shared" si="57"/>
        <v>1918.1158238300661</v>
      </c>
      <c r="G74" s="101">
        <f t="shared" si="57"/>
        <v>1798.2590605046285</v>
      </c>
      <c r="H74" s="101">
        <f t="shared" si="57"/>
        <v>1369</v>
      </c>
      <c r="I74" s="101">
        <v>1120</v>
      </c>
      <c r="J74" s="101">
        <v>1711</v>
      </c>
      <c r="K74" s="201">
        <v>2301</v>
      </c>
      <c r="L74" s="201">
        <v>2699</v>
      </c>
    </row>
    <row r="75" spans="1:20" x14ac:dyDescent="0.25">
      <c r="Q75" s="97"/>
      <c r="R75" s="97"/>
      <c r="S75" s="97"/>
      <c r="T75" s="97"/>
    </row>
    <row r="77" spans="1:20" x14ac:dyDescent="0.25">
      <c r="H77" s="105">
        <v>249</v>
      </c>
      <c r="I77" s="106">
        <v>-591</v>
      </c>
      <c r="J77" s="106">
        <v>-590</v>
      </c>
      <c r="K77" s="106">
        <v>-398</v>
      </c>
      <c r="L77" s="106">
        <v>1330</v>
      </c>
      <c r="Q77" s="97"/>
      <c r="R77" s="97"/>
      <c r="S77" s="97"/>
      <c r="T77" s="97"/>
    </row>
    <row r="78" spans="1:20" x14ac:dyDescent="0.25">
      <c r="H78" s="96" t="b">
        <f>H77=H72</f>
        <v>1</v>
      </c>
      <c r="I78" s="96" t="b">
        <f t="shared" ref="I78:L78" si="58">I77=I72</f>
        <v>1</v>
      </c>
      <c r="J78" s="96" t="b">
        <f t="shared" si="58"/>
        <v>1</v>
      </c>
      <c r="K78" s="96" t="b">
        <f t="shared" si="58"/>
        <v>1</v>
      </c>
      <c r="L78" s="96" t="b">
        <f t="shared" si="58"/>
        <v>1</v>
      </c>
      <c r="Q78" s="97"/>
      <c r="R78" s="97"/>
      <c r="S78" s="97"/>
      <c r="T78" s="97"/>
    </row>
    <row r="79" spans="1:20" x14ac:dyDescent="0.25">
      <c r="H79" s="102"/>
      <c r="I79" s="102"/>
      <c r="J79" s="102"/>
      <c r="K79" s="102"/>
      <c r="L79" s="102"/>
      <c r="Q79" s="97"/>
      <c r="R79" s="97"/>
      <c r="S79" s="97"/>
      <c r="T79" s="97"/>
    </row>
    <row r="80" spans="1:20" x14ac:dyDescent="0.25">
      <c r="B80" s="99" t="s">
        <v>478</v>
      </c>
      <c r="C80" s="99"/>
      <c r="D80" s="99"/>
      <c r="E80" s="99"/>
      <c r="F80" s="99"/>
      <c r="G80" s="99"/>
      <c r="H80" s="6"/>
      <c r="I80" s="6"/>
      <c r="J80" s="6"/>
      <c r="Q80" s="97"/>
      <c r="R80" s="97"/>
      <c r="S80" s="97"/>
      <c r="T80" s="97"/>
    </row>
    <row r="81" spans="2:20" x14ac:dyDescent="0.25">
      <c r="B81" s="98" t="s">
        <v>282</v>
      </c>
      <c r="C81" s="98"/>
      <c r="D81" s="98"/>
      <c r="E81" s="98"/>
      <c r="F81" s="98"/>
      <c r="G81" s="98"/>
      <c r="H81" s="6" t="s">
        <v>298</v>
      </c>
      <c r="I81" s="6"/>
      <c r="J81" s="4"/>
      <c r="Q81" s="97"/>
      <c r="R81" s="97"/>
      <c r="S81" s="97"/>
      <c r="T81" s="97"/>
    </row>
    <row r="82" spans="2:20" x14ac:dyDescent="0.25">
      <c r="B82" s="98" t="s">
        <v>295</v>
      </c>
      <c r="C82" s="98"/>
      <c r="D82" s="98"/>
      <c r="E82" s="98"/>
      <c r="F82" s="98"/>
      <c r="G82" s="98"/>
      <c r="H82" s="115">
        <v>2017</v>
      </c>
      <c r="I82" s="115">
        <v>2016</v>
      </c>
      <c r="J82" s="119">
        <v>2015</v>
      </c>
      <c r="Q82" s="97"/>
      <c r="R82" s="97"/>
      <c r="S82" s="97"/>
      <c r="T82" s="97"/>
    </row>
    <row r="83" spans="2:20" x14ac:dyDescent="0.25">
      <c r="B83" s="98" t="s">
        <v>476</v>
      </c>
      <c r="C83" s="98"/>
      <c r="D83" s="98"/>
      <c r="E83" s="98"/>
      <c r="F83" s="98"/>
      <c r="G83" s="98"/>
      <c r="H83" s="115">
        <v>622</v>
      </c>
      <c r="I83" s="115">
        <v>430</v>
      </c>
      <c r="J83" s="119">
        <v>732</v>
      </c>
      <c r="Q83" s="97"/>
      <c r="R83" s="97"/>
      <c r="S83" s="97"/>
      <c r="T83" s="97"/>
    </row>
    <row r="84" spans="2:20" x14ac:dyDescent="0.25">
      <c r="B84" s="98" t="s">
        <v>477</v>
      </c>
      <c r="C84" s="98"/>
      <c r="D84" s="98"/>
      <c r="E84" s="98"/>
      <c r="F84" s="98"/>
      <c r="G84" s="98"/>
      <c r="H84" s="115">
        <v>82</v>
      </c>
      <c r="I84" s="115">
        <v>68</v>
      </c>
      <c r="J84" s="119">
        <v>65</v>
      </c>
      <c r="Q84" s="97"/>
      <c r="R84" s="97"/>
      <c r="S84" s="97"/>
      <c r="T84" s="97"/>
    </row>
    <row r="87" spans="2:20" x14ac:dyDescent="0.25">
      <c r="B87" s="302" t="s">
        <v>1073</v>
      </c>
      <c r="C87" s="238">
        <f t="shared" ref="C87:G87" si="59">C44+C47</f>
        <v>2013.1594964388592</v>
      </c>
      <c r="D87" s="238">
        <f t="shared" si="59"/>
        <v>1971.7405179848388</v>
      </c>
      <c r="E87" s="238">
        <f t="shared" si="59"/>
        <v>1943.140087567825</v>
      </c>
      <c r="F87" s="238">
        <f t="shared" si="59"/>
        <v>1921.7136503379215</v>
      </c>
      <c r="G87" s="238">
        <f t="shared" si="59"/>
        <v>2533.7851128236048</v>
      </c>
      <c r="H87" s="238">
        <f>H44+H47</f>
        <v>1771</v>
      </c>
      <c r="I87" s="238">
        <f>I44+I47</f>
        <v>1408</v>
      </c>
      <c r="J87" s="238">
        <f>J44+J47</f>
        <v>1321</v>
      </c>
      <c r="K87" s="238">
        <f>K44+K47</f>
        <v>1523</v>
      </c>
      <c r="L87" s="238">
        <f>L44+L47</f>
        <v>1413</v>
      </c>
      <c r="Q87" s="97"/>
      <c r="R87" s="97"/>
      <c r="S87" s="97"/>
      <c r="T87" s="97"/>
    </row>
    <row r="88" spans="2:20" x14ac:dyDescent="0.25">
      <c r="B88" s="302" t="s">
        <v>1143</v>
      </c>
      <c r="C88" s="238">
        <f t="shared" ref="C88:L88" si="60">C44+C57</f>
        <v>1236.591922682926</v>
      </c>
      <c r="D88" s="238">
        <f t="shared" si="60"/>
        <v>1261.99155965152</v>
      </c>
      <c r="E88" s="238">
        <f t="shared" si="60"/>
        <v>1299.8540960810612</v>
      </c>
      <c r="F88" s="238">
        <f t="shared" si="60"/>
        <v>1344.5553170045926</v>
      </c>
      <c r="G88" s="238">
        <f t="shared" si="60"/>
        <v>2022.4383055761161</v>
      </c>
      <c r="H88" s="238">
        <f t="shared" si="60"/>
        <v>1225</v>
      </c>
      <c r="I88" s="238">
        <f t="shared" si="60"/>
        <v>1022</v>
      </c>
      <c r="J88" s="238">
        <f t="shared" si="60"/>
        <v>1147</v>
      </c>
      <c r="K88" s="238">
        <f t="shared" si="60"/>
        <v>1032</v>
      </c>
      <c r="L88" s="238">
        <f t="shared" si="60"/>
        <v>1243</v>
      </c>
      <c r="Q88" s="97"/>
      <c r="R88" s="97"/>
      <c r="S88" s="97"/>
      <c r="T88" s="97"/>
    </row>
    <row r="89" spans="2:20" x14ac:dyDescent="0.25">
      <c r="H89" s="100"/>
      <c r="I89" s="100"/>
      <c r="J89" s="100"/>
      <c r="Q89" s="97"/>
      <c r="R89" s="97"/>
      <c r="S89" s="97"/>
      <c r="T89" s="97"/>
    </row>
    <row r="90" spans="2:20" x14ac:dyDescent="0.25">
      <c r="B90" s="302"/>
      <c r="C90" s="303"/>
      <c r="D90" s="303"/>
      <c r="E90" s="303"/>
      <c r="F90" s="303"/>
      <c r="G90" s="303"/>
      <c r="H90" s="303"/>
      <c r="I90" s="303"/>
      <c r="J90" s="303"/>
      <c r="K90" s="303"/>
      <c r="L90" s="303"/>
    </row>
  </sheetData>
  <printOptions headings="1"/>
  <pageMargins left="0.7" right="0.7" top="0.75" bottom="0.75" header="0.3" footer="0.3"/>
  <pageSetup pageOrder="overThenDown" orientation="portrait" r:id="rId1"/>
  <headerFooter>
    <oddHeader>&amp;R</oddHeader>
    <oddFooter>&amp;R</oddFooter>
    <evenHeader>&amp;R</evenHeader>
    <evenFooter>&amp;R</evenFooter>
  </headerFooter>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3F3AA-E406-441C-90C6-45C969D6D241}">
  <sheetPr codeName="Sheet10">
    <tabColor theme="8" tint="-0.249977111117893"/>
  </sheetPr>
  <dimension ref="A1:Y106"/>
  <sheetViews>
    <sheetView topLeftCell="A53" zoomScale="90" zoomScaleNormal="90" workbookViewId="0">
      <pane ySplit="1" topLeftCell="A54" activePane="bottomLeft" state="frozen"/>
      <selection activeCell="A53" sqref="A53"/>
      <selection pane="bottomLeft" activeCell="K56" sqref="K56"/>
    </sheetView>
  </sheetViews>
  <sheetFormatPr defaultColWidth="14.28515625" defaultRowHeight="15" x14ac:dyDescent="0.25"/>
  <cols>
    <col min="1" max="1" width="6.42578125" style="119" bestFit="1" customWidth="1"/>
    <col min="2" max="2" width="46.5703125" style="98" bestFit="1" customWidth="1"/>
    <col min="3" max="4" width="14.28515625" style="6"/>
    <col min="5" max="10" width="14.28515625" style="4"/>
    <col min="11" max="11" width="13.42578125" style="4" customWidth="1"/>
    <col min="12" max="12" width="10.5703125" style="4" bestFit="1" customWidth="1"/>
    <col min="13" max="13" width="11.85546875" style="4" customWidth="1"/>
    <col min="14" max="14" width="14.28515625" style="4"/>
    <col min="15" max="15" width="37.7109375" style="4" bestFit="1" customWidth="1"/>
    <col min="16" max="20" width="14.28515625" style="4"/>
    <col min="21" max="21" width="6.5703125" style="4" customWidth="1"/>
    <col min="22" max="23" width="14.28515625" style="4"/>
    <col min="24" max="24" width="4.140625" style="4" customWidth="1"/>
    <col min="25" max="25" width="10.5703125" style="4" bestFit="1" customWidth="1"/>
    <col min="26" max="26" width="5.140625" style="4" customWidth="1"/>
    <col min="27" max="16384" width="14.28515625" style="4"/>
  </cols>
  <sheetData>
    <row r="1" spans="2:15" ht="60" x14ac:dyDescent="0.25">
      <c r="B1" s="125" t="s">
        <v>295</v>
      </c>
      <c r="C1" s="176" t="s">
        <v>468</v>
      </c>
      <c r="D1" s="176" t="s">
        <v>469</v>
      </c>
      <c r="E1" s="176" t="s">
        <v>470</v>
      </c>
      <c r="F1" s="176" t="s">
        <v>471</v>
      </c>
      <c r="G1" s="176" t="s">
        <v>472</v>
      </c>
      <c r="H1" s="176" t="s">
        <v>473</v>
      </c>
      <c r="I1" s="176" t="s">
        <v>721</v>
      </c>
      <c r="J1" s="176" t="s">
        <v>474</v>
      </c>
      <c r="K1" s="176"/>
      <c r="L1" s="176" t="s">
        <v>475</v>
      </c>
    </row>
    <row r="2" spans="2:15" x14ac:dyDescent="0.25">
      <c r="B2" s="167" t="s">
        <v>841</v>
      </c>
      <c r="C2" s="119">
        <v>556</v>
      </c>
      <c r="D2" s="119">
        <v>1543</v>
      </c>
      <c r="E2" s="119">
        <v>8406</v>
      </c>
      <c r="F2" s="119">
        <v>-2195</v>
      </c>
      <c r="G2" s="119">
        <v>-16</v>
      </c>
      <c r="H2" s="119">
        <v>-784</v>
      </c>
      <c r="I2" s="119">
        <v>7510</v>
      </c>
      <c r="J2" s="119">
        <v>360</v>
      </c>
      <c r="K2" s="119"/>
      <c r="L2" s="119">
        <v>7870</v>
      </c>
    </row>
    <row r="3" spans="2:15" x14ac:dyDescent="0.25">
      <c r="B3" s="167"/>
      <c r="C3" s="119"/>
      <c r="D3" s="119"/>
      <c r="E3" s="119"/>
      <c r="F3" s="119"/>
      <c r="G3" s="119"/>
      <c r="H3" s="119"/>
      <c r="I3" s="119"/>
      <c r="J3" s="119"/>
      <c r="K3" s="119"/>
      <c r="L3" s="119"/>
    </row>
    <row r="4" spans="2:15" x14ac:dyDescent="0.25">
      <c r="B4" s="4" t="s">
        <v>456</v>
      </c>
      <c r="C4" s="119"/>
      <c r="D4" s="119" t="s">
        <v>282</v>
      </c>
      <c r="E4" s="119">
        <v>1651</v>
      </c>
      <c r="F4" s="119" t="s">
        <v>282</v>
      </c>
      <c r="G4" s="119" t="s">
        <v>282</v>
      </c>
      <c r="H4" s="119" t="s">
        <v>282</v>
      </c>
      <c r="I4" s="119">
        <v>1651</v>
      </c>
      <c r="J4" s="119">
        <v>85</v>
      </c>
      <c r="K4" s="119"/>
      <c r="L4" s="119">
        <v>1736</v>
      </c>
      <c r="N4" s="4" t="b">
        <f t="shared" ref="N4:N13" si="0">I4=MAX(C4:H4)</f>
        <v>1</v>
      </c>
    </row>
    <row r="5" spans="2:15" x14ac:dyDescent="0.25">
      <c r="B5" s="125" t="s">
        <v>510</v>
      </c>
      <c r="C5" s="119"/>
      <c r="D5" s="119" t="s">
        <v>282</v>
      </c>
      <c r="E5" s="119" t="s">
        <v>282</v>
      </c>
      <c r="F5" s="119" t="s">
        <v>282</v>
      </c>
      <c r="G5" s="119" t="s">
        <v>282</v>
      </c>
      <c r="H5" s="119">
        <v>-294</v>
      </c>
      <c r="I5" s="119">
        <v>-294</v>
      </c>
      <c r="J5" s="119">
        <v>-11</v>
      </c>
      <c r="K5" s="119"/>
      <c r="L5" s="119">
        <v>-305</v>
      </c>
      <c r="N5" s="4" t="b">
        <f t="shared" si="0"/>
        <v>1</v>
      </c>
    </row>
    <row r="6" spans="2:15" x14ac:dyDescent="0.25">
      <c r="B6" s="4" t="s">
        <v>837</v>
      </c>
      <c r="C6" s="119"/>
      <c r="D6" s="119">
        <v>9</v>
      </c>
      <c r="E6" s="119" t="s">
        <v>282</v>
      </c>
      <c r="F6" s="119" t="s">
        <v>282</v>
      </c>
      <c r="G6" s="119" t="s">
        <v>282</v>
      </c>
      <c r="H6" s="119" t="s">
        <v>282</v>
      </c>
      <c r="I6" s="119">
        <v>9</v>
      </c>
      <c r="J6" s="119">
        <v>0</v>
      </c>
      <c r="K6" s="119"/>
      <c r="L6" s="119">
        <v>9</v>
      </c>
      <c r="N6" s="4" t="b">
        <f t="shared" si="0"/>
        <v>1</v>
      </c>
    </row>
    <row r="7" spans="2:15" x14ac:dyDescent="0.25">
      <c r="B7" s="4" t="s">
        <v>838</v>
      </c>
      <c r="C7" s="119"/>
      <c r="D7" s="119">
        <v>24</v>
      </c>
      <c r="E7" s="119" t="s">
        <v>282</v>
      </c>
      <c r="F7" s="119" t="s">
        <v>282</v>
      </c>
      <c r="G7" s="119">
        <v>3</v>
      </c>
      <c r="H7" s="119" t="s">
        <v>282</v>
      </c>
      <c r="I7" s="119">
        <v>27</v>
      </c>
      <c r="J7" s="119">
        <v>0</v>
      </c>
      <c r="K7" s="119"/>
      <c r="L7" s="119">
        <v>27</v>
      </c>
      <c r="N7" s="171" t="b">
        <f t="shared" si="0"/>
        <v>0</v>
      </c>
    </row>
    <row r="8" spans="2:15" x14ac:dyDescent="0.25">
      <c r="B8" s="4" t="s">
        <v>839</v>
      </c>
      <c r="C8" s="119"/>
      <c r="D8" s="119" t="s">
        <v>282</v>
      </c>
      <c r="E8" s="119" t="s">
        <v>282</v>
      </c>
      <c r="F8" s="119">
        <v>-670</v>
      </c>
      <c r="G8" s="119" t="s">
        <v>282</v>
      </c>
      <c r="H8" s="119" t="s">
        <v>282</v>
      </c>
      <c r="I8" s="119">
        <v>-670</v>
      </c>
      <c r="J8" s="119">
        <v>0</v>
      </c>
      <c r="K8" s="119"/>
      <c r="L8" s="119">
        <v>-670</v>
      </c>
      <c r="N8" s="4" t="b">
        <f t="shared" si="0"/>
        <v>1</v>
      </c>
    </row>
    <row r="9" spans="2:15" x14ac:dyDescent="0.25">
      <c r="B9" s="4" t="s">
        <v>840</v>
      </c>
      <c r="C9" s="119"/>
      <c r="D9" s="119" t="s">
        <v>282</v>
      </c>
      <c r="E9" s="119">
        <v>-512</v>
      </c>
      <c r="F9" s="119" t="s">
        <v>282</v>
      </c>
      <c r="G9" s="119" t="s">
        <v>282</v>
      </c>
      <c r="H9" s="119" t="s">
        <v>282</v>
      </c>
      <c r="I9" s="119">
        <v>-512</v>
      </c>
      <c r="J9" s="119">
        <v>0</v>
      </c>
      <c r="K9" s="119"/>
      <c r="L9" s="119">
        <v>-512</v>
      </c>
      <c r="N9" s="4" t="b">
        <f t="shared" si="0"/>
        <v>1</v>
      </c>
    </row>
    <row r="10" spans="2:15" x14ac:dyDescent="0.25">
      <c r="B10" s="4" t="s">
        <v>452</v>
      </c>
      <c r="C10" s="119"/>
      <c r="D10" s="119" t="s">
        <v>282</v>
      </c>
      <c r="E10" s="119" t="s">
        <v>282</v>
      </c>
      <c r="F10" s="119" t="s">
        <v>282</v>
      </c>
      <c r="G10" s="119" t="s">
        <v>282</v>
      </c>
      <c r="H10" s="119" t="s">
        <v>282</v>
      </c>
      <c r="I10" s="119">
        <v>0</v>
      </c>
      <c r="J10" s="119">
        <v>-83</v>
      </c>
      <c r="K10" s="119"/>
      <c r="L10" s="119">
        <v>-83</v>
      </c>
      <c r="N10" s="4" t="b">
        <f t="shared" si="0"/>
        <v>1</v>
      </c>
    </row>
    <row r="11" spans="2:15" x14ac:dyDescent="0.25">
      <c r="B11" s="4" t="s">
        <v>459</v>
      </c>
      <c r="C11" s="119"/>
      <c r="D11" s="119">
        <v>-5</v>
      </c>
      <c r="E11" s="119" t="s">
        <v>282</v>
      </c>
      <c r="F11" s="119">
        <v>21</v>
      </c>
      <c r="G11" s="119" t="s">
        <v>282</v>
      </c>
      <c r="H11" s="119" t="s">
        <v>282</v>
      </c>
      <c r="I11" s="119">
        <v>16</v>
      </c>
      <c r="J11" s="119">
        <v>0</v>
      </c>
      <c r="K11" s="119"/>
      <c r="L11" s="119">
        <v>16</v>
      </c>
      <c r="N11" s="171" t="b">
        <f t="shared" si="0"/>
        <v>0</v>
      </c>
    </row>
    <row r="12" spans="2:15" x14ac:dyDescent="0.25">
      <c r="B12" s="125" t="s">
        <v>467</v>
      </c>
      <c r="C12" s="119"/>
      <c r="D12" s="119"/>
      <c r="E12" s="119"/>
      <c r="F12" s="119"/>
      <c r="G12" s="119"/>
      <c r="H12" s="119"/>
      <c r="I12" s="119">
        <v>0</v>
      </c>
      <c r="J12" s="119">
        <v>0</v>
      </c>
      <c r="K12" s="119"/>
      <c r="L12" s="119">
        <v>0</v>
      </c>
      <c r="N12" s="4" t="b">
        <f t="shared" si="0"/>
        <v>1</v>
      </c>
    </row>
    <row r="13" spans="2:15" x14ac:dyDescent="0.25">
      <c r="B13" s="4" t="s">
        <v>460</v>
      </c>
      <c r="C13" s="119"/>
      <c r="D13" s="119">
        <v>12</v>
      </c>
      <c r="E13" s="119" t="s">
        <v>282</v>
      </c>
      <c r="F13" s="119" t="s">
        <v>282</v>
      </c>
      <c r="G13" s="119" t="s">
        <v>282</v>
      </c>
      <c r="H13" s="119" t="s">
        <v>282</v>
      </c>
      <c r="I13" s="119">
        <v>12</v>
      </c>
      <c r="J13" s="119">
        <v>-7</v>
      </c>
      <c r="K13" s="119"/>
      <c r="L13" s="119">
        <v>5</v>
      </c>
      <c r="N13" s="4" t="b">
        <f t="shared" si="0"/>
        <v>1</v>
      </c>
    </row>
    <row r="14" spans="2:15" x14ac:dyDescent="0.25">
      <c r="B14" s="140" t="s">
        <v>455</v>
      </c>
      <c r="C14" s="101">
        <v>556</v>
      </c>
      <c r="D14" s="101">
        <v>1583</v>
      </c>
      <c r="E14" s="101">
        <v>9545</v>
      </c>
      <c r="F14" s="177">
        <v>-2844</v>
      </c>
      <c r="G14" s="177">
        <v>-13</v>
      </c>
      <c r="H14" s="177">
        <v>-1078</v>
      </c>
      <c r="I14" s="101">
        <v>7749</v>
      </c>
      <c r="J14" s="101">
        <v>344</v>
      </c>
      <c r="K14" s="101"/>
      <c r="L14" s="101">
        <v>8093</v>
      </c>
      <c r="O14" s="203"/>
    </row>
    <row r="15" spans="2:15" x14ac:dyDescent="0.25">
      <c r="B15" s="140"/>
      <c r="C15" s="101"/>
      <c r="D15" s="101"/>
      <c r="E15" s="101"/>
      <c r="F15" s="177"/>
      <c r="G15" s="177"/>
      <c r="H15" s="177"/>
      <c r="I15" s="101"/>
      <c r="J15" s="101"/>
      <c r="K15" s="101"/>
      <c r="L15" s="101"/>
    </row>
    <row r="16" spans="2:15" x14ac:dyDescent="0.25">
      <c r="B16" s="125" t="s">
        <v>456</v>
      </c>
      <c r="C16" s="102" t="s">
        <v>282</v>
      </c>
      <c r="D16" s="102" t="s">
        <v>282</v>
      </c>
      <c r="E16" s="103">
        <v>1399</v>
      </c>
      <c r="F16" s="102" t="s">
        <v>282</v>
      </c>
      <c r="G16" s="102" t="s">
        <v>282</v>
      </c>
      <c r="H16" s="102" t="s">
        <v>282</v>
      </c>
      <c r="I16" s="103">
        <v>1399</v>
      </c>
      <c r="J16" s="103">
        <v>71</v>
      </c>
      <c r="K16" s="103"/>
      <c r="L16" s="103">
        <v>1470</v>
      </c>
      <c r="N16" s="4" t="b">
        <f t="shared" ref="N16:N25" si="1">I16=MAX(C16:H16)</f>
        <v>1</v>
      </c>
    </row>
    <row r="17" spans="2:25" x14ac:dyDescent="0.25">
      <c r="B17" s="125" t="s">
        <v>510</v>
      </c>
      <c r="C17" s="102" t="s">
        <v>282</v>
      </c>
      <c r="D17" s="102" t="s">
        <v>282</v>
      </c>
      <c r="E17" s="102" t="s">
        <v>282</v>
      </c>
      <c r="F17" s="102" t="s">
        <v>282</v>
      </c>
      <c r="G17" s="102" t="s">
        <v>282</v>
      </c>
      <c r="H17" s="102">
        <v>-270</v>
      </c>
      <c r="I17" s="102">
        <v>-270</v>
      </c>
      <c r="J17" s="102">
        <v>-15</v>
      </c>
      <c r="K17" s="102"/>
      <c r="L17" s="102">
        <v>-285</v>
      </c>
      <c r="N17" s="4" t="b">
        <f t="shared" si="1"/>
        <v>1</v>
      </c>
    </row>
    <row r="18" spans="2:25" x14ac:dyDescent="0.25">
      <c r="B18" s="125" t="s">
        <v>457</v>
      </c>
      <c r="C18" s="102" t="s">
        <v>282</v>
      </c>
      <c r="D18" s="103">
        <v>9</v>
      </c>
      <c r="E18" s="102" t="s">
        <v>282</v>
      </c>
      <c r="F18" s="102" t="s">
        <v>282</v>
      </c>
      <c r="G18" s="102" t="s">
        <v>282</v>
      </c>
      <c r="H18" s="102" t="s">
        <v>282</v>
      </c>
      <c r="I18" s="103">
        <v>9</v>
      </c>
      <c r="J18" s="102">
        <v>0</v>
      </c>
      <c r="K18" s="102"/>
      <c r="L18" s="103">
        <v>9</v>
      </c>
      <c r="N18" s="4" t="b">
        <f t="shared" si="1"/>
        <v>1</v>
      </c>
    </row>
    <row r="19" spans="2:25" x14ac:dyDescent="0.25">
      <c r="B19" s="210" t="s">
        <v>466</v>
      </c>
      <c r="C19" s="102" t="s">
        <v>282</v>
      </c>
      <c r="D19" s="103">
        <v>25</v>
      </c>
      <c r="E19" s="102" t="s">
        <v>282</v>
      </c>
      <c r="F19" s="102" t="s">
        <v>282</v>
      </c>
      <c r="G19" s="103">
        <v>2</v>
      </c>
      <c r="H19" s="102" t="s">
        <v>282</v>
      </c>
      <c r="I19" s="103">
        <v>27</v>
      </c>
      <c r="J19" s="102">
        <v>0</v>
      </c>
      <c r="K19" s="102"/>
      <c r="L19" s="103">
        <v>27</v>
      </c>
      <c r="N19" s="171" t="b">
        <f t="shared" si="1"/>
        <v>0</v>
      </c>
    </row>
    <row r="20" spans="2:25" x14ac:dyDescent="0.25">
      <c r="B20" s="210" t="s">
        <v>453</v>
      </c>
      <c r="C20" s="102" t="s">
        <v>282</v>
      </c>
      <c r="D20" s="102" t="s">
        <v>282</v>
      </c>
      <c r="E20" s="102" t="s">
        <v>282</v>
      </c>
      <c r="F20" s="102">
        <v>-900</v>
      </c>
      <c r="G20" s="102" t="s">
        <v>282</v>
      </c>
      <c r="H20" s="102" t="s">
        <v>282</v>
      </c>
      <c r="I20" s="102">
        <v>-900</v>
      </c>
      <c r="J20" s="102">
        <v>0</v>
      </c>
      <c r="K20" s="102"/>
      <c r="L20" s="102">
        <v>-900</v>
      </c>
      <c r="N20" s="4" t="b">
        <f t="shared" si="1"/>
        <v>1</v>
      </c>
    </row>
    <row r="21" spans="2:25" x14ac:dyDescent="0.25">
      <c r="B21" s="210" t="s">
        <v>458</v>
      </c>
      <c r="C21" s="102" t="s">
        <v>282</v>
      </c>
      <c r="D21" s="102" t="s">
        <v>282</v>
      </c>
      <c r="E21" s="102">
        <v>-622</v>
      </c>
      <c r="F21" s="102" t="s">
        <v>282</v>
      </c>
      <c r="G21" s="102" t="s">
        <v>282</v>
      </c>
      <c r="H21" s="102" t="s">
        <v>282</v>
      </c>
      <c r="I21" s="102">
        <v>-622</v>
      </c>
      <c r="J21" s="102">
        <v>0</v>
      </c>
      <c r="K21" s="102"/>
      <c r="L21" s="102">
        <v>-622</v>
      </c>
      <c r="N21" s="4" t="b">
        <f t="shared" si="1"/>
        <v>1</v>
      </c>
    </row>
    <row r="22" spans="2:25" x14ac:dyDescent="0.25">
      <c r="B22" s="210" t="s">
        <v>452</v>
      </c>
      <c r="C22" s="102" t="s">
        <v>282</v>
      </c>
      <c r="D22" s="102" t="s">
        <v>282</v>
      </c>
      <c r="E22" s="102" t="s">
        <v>282</v>
      </c>
      <c r="F22" s="102" t="s">
        <v>282</v>
      </c>
      <c r="G22" s="102" t="s">
        <v>282</v>
      </c>
      <c r="H22" s="102" t="s">
        <v>282</v>
      </c>
      <c r="I22" s="102">
        <v>0</v>
      </c>
      <c r="J22" s="102">
        <v>-49</v>
      </c>
      <c r="K22" s="102"/>
      <c r="L22" s="102">
        <v>-49</v>
      </c>
      <c r="N22" s="4" t="b">
        <f t="shared" si="1"/>
        <v>1</v>
      </c>
    </row>
    <row r="23" spans="2:25" x14ac:dyDescent="0.25">
      <c r="B23" s="210" t="s">
        <v>459</v>
      </c>
      <c r="C23" s="102" t="s">
        <v>282</v>
      </c>
      <c r="D23" s="102">
        <v>-4</v>
      </c>
      <c r="E23" s="102" t="s">
        <v>282</v>
      </c>
      <c r="F23" s="103">
        <v>9</v>
      </c>
      <c r="G23" s="102" t="s">
        <v>282</v>
      </c>
      <c r="H23" s="102" t="s">
        <v>282</v>
      </c>
      <c r="I23" s="103">
        <v>5</v>
      </c>
      <c r="J23" s="102">
        <v>0</v>
      </c>
      <c r="K23" s="102"/>
      <c r="L23" s="103">
        <v>5</v>
      </c>
      <c r="N23" s="171" t="b">
        <f t="shared" si="1"/>
        <v>0</v>
      </c>
    </row>
    <row r="24" spans="2:25" x14ac:dyDescent="0.25">
      <c r="B24" s="210" t="s">
        <v>467</v>
      </c>
      <c r="C24" s="102" t="s">
        <v>282</v>
      </c>
      <c r="D24" s="102">
        <v>-3</v>
      </c>
      <c r="E24" s="102" t="s">
        <v>282</v>
      </c>
      <c r="F24" s="102" t="s">
        <v>282</v>
      </c>
      <c r="G24" s="102" t="s">
        <v>282</v>
      </c>
      <c r="H24" s="102" t="s">
        <v>282</v>
      </c>
      <c r="I24" s="102">
        <v>-3</v>
      </c>
      <c r="J24" s="102">
        <v>-7</v>
      </c>
      <c r="K24" s="102"/>
      <c r="L24" s="102">
        <v>-10</v>
      </c>
      <c r="N24" s="4" t="b">
        <f t="shared" si="1"/>
        <v>1</v>
      </c>
    </row>
    <row r="25" spans="2:25" x14ac:dyDescent="0.25">
      <c r="B25" s="125" t="s">
        <v>460</v>
      </c>
      <c r="C25" s="102" t="s">
        <v>282</v>
      </c>
      <c r="D25" s="103">
        <v>12</v>
      </c>
      <c r="E25" s="102" t="s">
        <v>282</v>
      </c>
      <c r="F25" s="102" t="s">
        <v>282</v>
      </c>
      <c r="G25" s="102" t="s">
        <v>282</v>
      </c>
      <c r="H25" s="102" t="s">
        <v>282</v>
      </c>
      <c r="I25" s="103">
        <v>12</v>
      </c>
      <c r="J25" s="102">
        <v>0</v>
      </c>
      <c r="K25" s="102"/>
      <c r="L25" s="103">
        <v>12</v>
      </c>
      <c r="N25" s="4" t="b">
        <f t="shared" si="1"/>
        <v>1</v>
      </c>
      <c r="O25" s="181"/>
      <c r="P25" s="181"/>
      <c r="Q25" s="181"/>
      <c r="R25" s="181"/>
      <c r="S25" s="181"/>
      <c r="T25" s="181"/>
      <c r="U25" s="181"/>
      <c r="V25" s="181"/>
      <c r="W25" s="181"/>
      <c r="X25"/>
      <c r="Y25"/>
    </row>
    <row r="26" spans="2:25" x14ac:dyDescent="0.25">
      <c r="B26" s="140" t="s">
        <v>461</v>
      </c>
      <c r="C26" s="101">
        <v>556</v>
      </c>
      <c r="D26" s="101">
        <v>1622</v>
      </c>
      <c r="E26" s="101">
        <v>10322</v>
      </c>
      <c r="F26" s="101">
        <v>-3735</v>
      </c>
      <c r="G26" s="101">
        <v>-11</v>
      </c>
      <c r="H26" s="177">
        <v>-1348</v>
      </c>
      <c r="I26" s="101">
        <f>SUM(C26:H26)</f>
        <v>7406</v>
      </c>
      <c r="J26" s="101">
        <v>344</v>
      </c>
      <c r="K26" s="101"/>
      <c r="L26" s="101">
        <f>SUM(I26:J26)</f>
        <v>7750</v>
      </c>
      <c r="N26" s="180"/>
      <c r="O26" s="203"/>
      <c r="P26" s="181"/>
      <c r="Q26" s="181"/>
      <c r="R26" s="181"/>
      <c r="S26" s="181"/>
      <c r="T26" s="181"/>
      <c r="U26" s="181"/>
      <c r="V26" s="181"/>
      <c r="W26" s="181"/>
      <c r="X26"/>
      <c r="Y26"/>
    </row>
    <row r="27" spans="2:25" x14ac:dyDescent="0.25">
      <c r="B27" s="140"/>
      <c r="C27" s="101"/>
      <c r="D27" s="101"/>
      <c r="E27" s="101"/>
      <c r="F27" s="177"/>
      <c r="G27" s="177"/>
      <c r="H27" s="177"/>
      <c r="I27" s="101"/>
      <c r="J27" s="101"/>
      <c r="K27" s="101"/>
      <c r="L27" s="101"/>
      <c r="N27" s="180"/>
      <c r="O27" s="180"/>
      <c r="P27" s="181"/>
      <c r="Q27" s="180"/>
      <c r="R27" s="180"/>
      <c r="S27" s="181"/>
      <c r="T27" s="181"/>
      <c r="U27" s="181"/>
      <c r="V27"/>
      <c r="W27"/>
      <c r="X27"/>
      <c r="Y27"/>
    </row>
    <row r="28" spans="2:25" x14ac:dyDescent="0.25">
      <c r="B28" s="125" t="s">
        <v>456</v>
      </c>
      <c r="C28" s="102" t="s">
        <v>282</v>
      </c>
      <c r="D28" s="102" t="s">
        <v>282</v>
      </c>
      <c r="E28" s="103">
        <v>1394</v>
      </c>
      <c r="F28" s="102" t="s">
        <v>282</v>
      </c>
      <c r="G28" s="102" t="s">
        <v>282</v>
      </c>
      <c r="H28" s="102" t="s">
        <v>282</v>
      </c>
      <c r="I28" s="103">
        <v>1394</v>
      </c>
      <c r="J28" s="103">
        <v>62</v>
      </c>
      <c r="K28" s="103"/>
      <c r="L28" s="103">
        <v>1456</v>
      </c>
      <c r="N28" s="4" t="b">
        <f t="shared" ref="N28:N37" si="2">I28=MAX(C28:H28)</f>
        <v>1</v>
      </c>
    </row>
    <row r="29" spans="2:25" x14ac:dyDescent="0.25">
      <c r="B29" s="125" t="s">
        <v>510</v>
      </c>
      <c r="C29" s="102" t="s">
        <v>282</v>
      </c>
      <c r="D29" s="102" t="s">
        <v>282</v>
      </c>
      <c r="E29" s="102" t="s">
        <v>282</v>
      </c>
      <c r="F29" s="102" t="s">
        <v>282</v>
      </c>
      <c r="G29" s="102" t="s">
        <v>282</v>
      </c>
      <c r="H29" s="102">
        <v>-473</v>
      </c>
      <c r="I29" s="102">
        <v>-473</v>
      </c>
      <c r="J29" s="102">
        <v>-17</v>
      </c>
      <c r="K29" s="102"/>
      <c r="L29" s="102">
        <v>-490</v>
      </c>
      <c r="N29" s="4" t="b">
        <f t="shared" si="2"/>
        <v>1</v>
      </c>
    </row>
    <row r="30" spans="2:25" x14ac:dyDescent="0.25">
      <c r="B30" s="210" t="s">
        <v>457</v>
      </c>
      <c r="C30" s="102" t="s">
        <v>282</v>
      </c>
      <c r="D30" s="103">
        <v>6</v>
      </c>
      <c r="E30" s="102" t="s">
        <v>282</v>
      </c>
      <c r="F30" s="102" t="s">
        <v>282</v>
      </c>
      <c r="G30" s="102" t="s">
        <v>282</v>
      </c>
      <c r="H30" s="102" t="s">
        <v>282</v>
      </c>
      <c r="I30" s="103">
        <v>6</v>
      </c>
      <c r="J30" s="102">
        <v>0</v>
      </c>
      <c r="K30" s="102"/>
      <c r="L30" s="103">
        <v>6</v>
      </c>
      <c r="N30" s="4" t="b">
        <f t="shared" si="2"/>
        <v>1</v>
      </c>
    </row>
    <row r="31" spans="2:25" x14ac:dyDescent="0.25">
      <c r="B31" s="210" t="s">
        <v>466</v>
      </c>
      <c r="C31" s="102" t="s">
        <v>282</v>
      </c>
      <c r="D31" s="103">
        <v>23</v>
      </c>
      <c r="E31" s="102" t="s">
        <v>282</v>
      </c>
      <c r="F31" s="102" t="s">
        <v>282</v>
      </c>
      <c r="G31" s="103">
        <v>3</v>
      </c>
      <c r="H31" s="102" t="s">
        <v>282</v>
      </c>
      <c r="I31" s="103">
        <v>26</v>
      </c>
      <c r="J31" s="102">
        <v>0</v>
      </c>
      <c r="K31" s="102"/>
      <c r="L31" s="103">
        <v>26</v>
      </c>
      <c r="N31" s="171" t="b">
        <f t="shared" si="2"/>
        <v>0</v>
      </c>
    </row>
    <row r="32" spans="2:25" x14ac:dyDescent="0.25">
      <c r="B32" s="210" t="s">
        <v>453</v>
      </c>
      <c r="C32" s="102" t="s">
        <v>282</v>
      </c>
      <c r="D32" s="102" t="s">
        <v>282</v>
      </c>
      <c r="E32" s="102" t="s">
        <v>282</v>
      </c>
      <c r="F32" s="102">
        <v>-778</v>
      </c>
      <c r="G32" s="102" t="s">
        <v>282</v>
      </c>
      <c r="H32" s="102" t="s">
        <v>282</v>
      </c>
      <c r="I32" s="102">
        <v>-778</v>
      </c>
      <c r="J32" s="102">
        <v>0</v>
      </c>
      <c r="K32" s="102"/>
      <c r="L32" s="102">
        <v>-778</v>
      </c>
      <c r="N32" s="4" t="b">
        <f t="shared" si="2"/>
        <v>1</v>
      </c>
    </row>
    <row r="33" spans="2:15" x14ac:dyDescent="0.25">
      <c r="B33" s="210" t="s">
        <v>458</v>
      </c>
      <c r="C33" s="102" t="s">
        <v>282</v>
      </c>
      <c r="D33" s="102" t="s">
        <v>282</v>
      </c>
      <c r="E33" s="102">
        <v>-676</v>
      </c>
      <c r="F33" s="102" t="s">
        <v>282</v>
      </c>
      <c r="G33" s="102" t="s">
        <v>282</v>
      </c>
      <c r="H33" s="102" t="s">
        <v>282</v>
      </c>
      <c r="I33" s="102">
        <v>-676</v>
      </c>
      <c r="J33" s="102">
        <v>0</v>
      </c>
      <c r="K33" s="102"/>
      <c r="L33" s="102">
        <v>-676</v>
      </c>
      <c r="N33" s="4" t="b">
        <f t="shared" si="2"/>
        <v>1</v>
      </c>
    </row>
    <row r="34" spans="2:15" x14ac:dyDescent="0.25">
      <c r="B34" s="210" t="s">
        <v>452</v>
      </c>
      <c r="C34" s="102" t="s">
        <v>282</v>
      </c>
      <c r="D34" s="102" t="s">
        <v>282</v>
      </c>
      <c r="E34" s="102" t="s">
        <v>282</v>
      </c>
      <c r="F34" s="102" t="s">
        <v>282</v>
      </c>
      <c r="G34" s="102" t="s">
        <v>282</v>
      </c>
      <c r="H34" s="102" t="s">
        <v>282</v>
      </c>
      <c r="I34" s="102">
        <v>0</v>
      </c>
      <c r="J34" s="102">
        <v>-65</v>
      </c>
      <c r="K34" s="102"/>
      <c r="L34" s="102">
        <v>-65</v>
      </c>
      <c r="N34" s="4" t="b">
        <f t="shared" si="2"/>
        <v>1</v>
      </c>
    </row>
    <row r="35" spans="2:15" x14ac:dyDescent="0.25">
      <c r="B35" s="210" t="s">
        <v>459</v>
      </c>
      <c r="C35" s="102" t="s">
        <v>282</v>
      </c>
      <c r="D35" s="102">
        <v>-5</v>
      </c>
      <c r="E35" s="102" t="s">
        <v>282</v>
      </c>
      <c r="F35" s="103">
        <v>24</v>
      </c>
      <c r="G35" s="102" t="s">
        <v>282</v>
      </c>
      <c r="H35" s="102" t="s">
        <v>282</v>
      </c>
      <c r="I35" s="103">
        <v>19</v>
      </c>
      <c r="J35" s="102">
        <v>0</v>
      </c>
      <c r="K35" s="102"/>
      <c r="L35" s="103">
        <v>19</v>
      </c>
      <c r="N35" s="171" t="b">
        <f t="shared" si="2"/>
        <v>0</v>
      </c>
    </row>
    <row r="36" spans="2:15" x14ac:dyDescent="0.25">
      <c r="B36" s="125" t="s">
        <v>467</v>
      </c>
      <c r="C36" s="102" t="s">
        <v>282</v>
      </c>
      <c r="D36" s="102">
        <v>-73</v>
      </c>
      <c r="E36" s="102" t="s">
        <v>282</v>
      </c>
      <c r="F36" s="102" t="s">
        <v>282</v>
      </c>
      <c r="G36" s="102" t="s">
        <v>282</v>
      </c>
      <c r="H36" s="102" t="s">
        <v>282</v>
      </c>
      <c r="I36" s="102">
        <v>-73</v>
      </c>
      <c r="J36" s="102">
        <v>-25</v>
      </c>
      <c r="K36" s="102"/>
      <c r="L36" s="102">
        <v>-98</v>
      </c>
      <c r="N36" s="4" t="b">
        <f t="shared" si="2"/>
        <v>1</v>
      </c>
    </row>
    <row r="37" spans="2:15" x14ac:dyDescent="0.25">
      <c r="B37" s="125" t="s">
        <v>460</v>
      </c>
      <c r="C37" s="102" t="s">
        <v>282</v>
      </c>
      <c r="D37" s="103">
        <v>24</v>
      </c>
      <c r="E37" s="102" t="s">
        <v>282</v>
      </c>
      <c r="F37" s="102" t="s">
        <v>282</v>
      </c>
      <c r="G37" s="102" t="s">
        <v>282</v>
      </c>
      <c r="H37" s="102" t="s">
        <v>282</v>
      </c>
      <c r="I37" s="103">
        <v>24</v>
      </c>
      <c r="J37" s="102">
        <v>0</v>
      </c>
      <c r="K37" s="102"/>
      <c r="L37" s="103">
        <v>24</v>
      </c>
      <c r="N37" s="4" t="b">
        <f t="shared" si="2"/>
        <v>1</v>
      </c>
    </row>
    <row r="38" spans="2:15" x14ac:dyDescent="0.25">
      <c r="B38" s="140" t="s">
        <v>462</v>
      </c>
      <c r="C38" s="101">
        <v>556</v>
      </c>
      <c r="D38" s="101">
        <v>1597</v>
      </c>
      <c r="E38" s="101">
        <v>11040</v>
      </c>
      <c r="F38" s="101">
        <v>-4489</v>
      </c>
      <c r="G38" s="101">
        <v>-8</v>
      </c>
      <c r="H38" s="177">
        <v>-1821</v>
      </c>
      <c r="I38" s="101">
        <f>SUM(C38:H38)</f>
        <v>6875</v>
      </c>
      <c r="J38" s="101">
        <v>299</v>
      </c>
      <c r="K38" s="101"/>
      <c r="L38" s="101">
        <f>SUM(I38:J38)</f>
        <v>7174</v>
      </c>
      <c r="O38" s="203"/>
    </row>
    <row r="39" spans="2:15" x14ac:dyDescent="0.25">
      <c r="B39" s="140"/>
      <c r="C39" s="101"/>
      <c r="D39" s="101"/>
      <c r="E39" s="101"/>
      <c r="F39" s="177"/>
      <c r="G39" s="177"/>
      <c r="H39" s="177"/>
      <c r="I39" s="101"/>
      <c r="J39" s="101"/>
      <c r="K39" s="101"/>
      <c r="L39" s="101"/>
    </row>
    <row r="40" spans="2:15" x14ac:dyDescent="0.25">
      <c r="B40" s="125" t="s">
        <v>463</v>
      </c>
      <c r="C40" s="102" t="s">
        <v>282</v>
      </c>
      <c r="D40" s="102" t="s">
        <v>282</v>
      </c>
      <c r="E40" s="103">
        <v>126</v>
      </c>
      <c r="F40" s="102" t="s">
        <v>282</v>
      </c>
      <c r="G40" s="102" t="s">
        <v>282</v>
      </c>
      <c r="H40" s="102" t="s">
        <v>282</v>
      </c>
      <c r="I40" s="103">
        <v>126</v>
      </c>
      <c r="J40" s="102">
        <v>0</v>
      </c>
      <c r="K40" s="102"/>
      <c r="L40" s="103">
        <v>126</v>
      </c>
    </row>
    <row r="41" spans="2:15" x14ac:dyDescent="0.25">
      <c r="B41" s="125" t="s">
        <v>456</v>
      </c>
      <c r="C41" s="102" t="s">
        <v>282</v>
      </c>
      <c r="D41" s="102" t="s">
        <v>282</v>
      </c>
      <c r="E41" s="103">
        <v>999</v>
      </c>
      <c r="F41" s="102" t="s">
        <v>282</v>
      </c>
      <c r="G41" s="102" t="s">
        <v>282</v>
      </c>
      <c r="H41" s="102" t="s">
        <v>282</v>
      </c>
      <c r="I41" s="103">
        <v>999</v>
      </c>
      <c r="J41" s="102">
        <v>-5</v>
      </c>
      <c r="K41" s="102"/>
      <c r="L41" s="103">
        <v>994</v>
      </c>
      <c r="N41" s="4" t="b">
        <f t="shared" ref="N41:N50" si="3">I41=MAX(C41:H41)</f>
        <v>1</v>
      </c>
    </row>
    <row r="42" spans="2:15" x14ac:dyDescent="0.25">
      <c r="B42" s="210" t="s">
        <v>510</v>
      </c>
      <c r="C42" s="102" t="s">
        <v>282</v>
      </c>
      <c r="D42" s="102" t="s">
        <v>282</v>
      </c>
      <c r="E42" s="102" t="s">
        <v>282</v>
      </c>
      <c r="F42" s="102" t="s">
        <v>282</v>
      </c>
      <c r="G42" s="102" t="s">
        <v>282</v>
      </c>
      <c r="H42" s="103">
        <v>318</v>
      </c>
      <c r="I42" s="103">
        <v>318</v>
      </c>
      <c r="J42" s="103">
        <v>20</v>
      </c>
      <c r="K42" s="103"/>
      <c r="L42" s="103">
        <v>338</v>
      </c>
      <c r="N42" s="4" t="b">
        <f t="shared" si="3"/>
        <v>1</v>
      </c>
    </row>
    <row r="43" spans="2:15" x14ac:dyDescent="0.25">
      <c r="B43" s="210" t="s">
        <v>457</v>
      </c>
      <c r="C43" s="102" t="s">
        <v>282</v>
      </c>
      <c r="D43" s="103">
        <v>6</v>
      </c>
      <c r="E43" s="102" t="s">
        <v>282</v>
      </c>
      <c r="F43" s="102" t="s">
        <v>282</v>
      </c>
      <c r="G43" s="102" t="s">
        <v>282</v>
      </c>
      <c r="H43" s="102" t="s">
        <v>282</v>
      </c>
      <c r="I43" s="103">
        <v>6</v>
      </c>
      <c r="J43" s="102">
        <v>0</v>
      </c>
      <c r="K43" s="102"/>
      <c r="L43" s="103">
        <v>6</v>
      </c>
      <c r="N43" s="4" t="b">
        <f t="shared" si="3"/>
        <v>1</v>
      </c>
    </row>
    <row r="44" spans="2:15" x14ac:dyDescent="0.25">
      <c r="B44" s="210" t="s">
        <v>466</v>
      </c>
      <c r="C44" s="102" t="s">
        <v>282</v>
      </c>
      <c r="D44" s="103">
        <v>17</v>
      </c>
      <c r="E44" s="102" t="s">
        <v>282</v>
      </c>
      <c r="F44" s="102" t="s">
        <v>282</v>
      </c>
      <c r="G44" s="103">
        <v>1</v>
      </c>
      <c r="H44" s="102" t="s">
        <v>282</v>
      </c>
      <c r="I44" s="103">
        <v>18</v>
      </c>
      <c r="J44" s="102">
        <v>0</v>
      </c>
      <c r="K44" s="102"/>
      <c r="L44" s="103">
        <v>18</v>
      </c>
      <c r="N44" s="171" t="b">
        <f t="shared" si="3"/>
        <v>0</v>
      </c>
    </row>
    <row r="45" spans="2:15" x14ac:dyDescent="0.25">
      <c r="B45" s="210" t="s">
        <v>453</v>
      </c>
      <c r="C45" s="102" t="s">
        <v>282</v>
      </c>
      <c r="D45" s="102" t="s">
        <v>282</v>
      </c>
      <c r="E45" s="102" t="s">
        <v>282</v>
      </c>
      <c r="F45" s="102">
        <v>-451</v>
      </c>
      <c r="G45" s="102" t="s">
        <v>282</v>
      </c>
      <c r="H45" s="102" t="s">
        <v>282</v>
      </c>
      <c r="I45" s="102">
        <v>-451</v>
      </c>
      <c r="J45" s="102">
        <v>0</v>
      </c>
      <c r="K45" s="102"/>
      <c r="L45" s="102">
        <v>-451</v>
      </c>
      <c r="N45" s="4" t="b">
        <f t="shared" si="3"/>
        <v>1</v>
      </c>
    </row>
    <row r="46" spans="2:15" x14ac:dyDescent="0.25">
      <c r="B46" s="210" t="s">
        <v>458</v>
      </c>
      <c r="C46" s="102" t="s">
        <v>282</v>
      </c>
      <c r="D46" s="102" t="s">
        <v>282</v>
      </c>
      <c r="E46" s="102">
        <v>-701</v>
      </c>
      <c r="F46" s="102" t="s">
        <v>282</v>
      </c>
      <c r="G46" s="102" t="s">
        <v>282</v>
      </c>
      <c r="H46" s="102" t="s">
        <v>282</v>
      </c>
      <c r="I46" s="102">
        <v>-701</v>
      </c>
      <c r="J46" s="102">
        <v>0</v>
      </c>
      <c r="K46" s="102"/>
      <c r="L46" s="102">
        <v>-701</v>
      </c>
      <c r="N46" s="4" t="b">
        <f t="shared" si="3"/>
        <v>1</v>
      </c>
    </row>
    <row r="47" spans="2:15" x14ac:dyDescent="0.25">
      <c r="B47" s="210" t="s">
        <v>452</v>
      </c>
      <c r="C47" s="102" t="s">
        <v>282</v>
      </c>
      <c r="D47" s="102" t="s">
        <v>282</v>
      </c>
      <c r="E47" s="102" t="s">
        <v>282</v>
      </c>
      <c r="F47" s="102" t="s">
        <v>282</v>
      </c>
      <c r="G47" s="102" t="s">
        <v>282</v>
      </c>
      <c r="H47" s="102" t="s">
        <v>282</v>
      </c>
      <c r="I47" s="102">
        <v>0</v>
      </c>
      <c r="J47" s="102">
        <v>-29</v>
      </c>
      <c r="K47" s="102"/>
      <c r="L47" s="102">
        <v>-29</v>
      </c>
      <c r="N47" s="4" t="b">
        <f t="shared" si="3"/>
        <v>1</v>
      </c>
    </row>
    <row r="48" spans="2:15" x14ac:dyDescent="0.25">
      <c r="B48" s="210" t="s">
        <v>459</v>
      </c>
      <c r="C48" s="102" t="s">
        <v>282</v>
      </c>
      <c r="D48" s="103">
        <v>3</v>
      </c>
      <c r="E48" s="102" t="s">
        <v>282</v>
      </c>
      <c r="F48" s="103">
        <v>35</v>
      </c>
      <c r="G48" s="102" t="s">
        <v>282</v>
      </c>
      <c r="H48" s="102" t="s">
        <v>282</v>
      </c>
      <c r="I48" s="103">
        <v>38</v>
      </c>
      <c r="J48" s="102">
        <v>0</v>
      </c>
      <c r="K48" s="102"/>
      <c r="L48" s="103">
        <v>38</v>
      </c>
      <c r="N48" s="171" t="b">
        <f t="shared" si="3"/>
        <v>0</v>
      </c>
    </row>
    <row r="49" spans="1:16" x14ac:dyDescent="0.25">
      <c r="B49" s="125" t="s">
        <v>464</v>
      </c>
      <c r="C49" s="102" t="s">
        <v>282</v>
      </c>
      <c r="D49" s="102" t="s">
        <v>282</v>
      </c>
      <c r="E49" s="102" t="s">
        <v>282</v>
      </c>
      <c r="F49" s="102" t="s">
        <v>282</v>
      </c>
      <c r="G49" s="102" t="s">
        <v>282</v>
      </c>
      <c r="H49" s="102" t="s">
        <v>282</v>
      </c>
      <c r="I49" s="102">
        <v>0</v>
      </c>
      <c r="J49" s="103">
        <v>600</v>
      </c>
      <c r="K49" s="103"/>
      <c r="L49" s="103">
        <v>600</v>
      </c>
      <c r="N49" s="4" t="b">
        <f t="shared" si="3"/>
        <v>1</v>
      </c>
    </row>
    <row r="50" spans="1:16" x14ac:dyDescent="0.25">
      <c r="B50" s="125" t="s">
        <v>460</v>
      </c>
      <c r="C50" s="102" t="s">
        <v>282</v>
      </c>
      <c r="D50" s="103">
        <v>31</v>
      </c>
      <c r="E50" s="102" t="s">
        <v>282</v>
      </c>
      <c r="F50" s="102" t="s">
        <v>282</v>
      </c>
      <c r="G50" s="102" t="s">
        <v>282</v>
      </c>
      <c r="H50" s="102" t="s">
        <v>282</v>
      </c>
      <c r="I50" s="103">
        <v>31</v>
      </c>
      <c r="J50" s="103">
        <v>20</v>
      </c>
      <c r="K50" s="103"/>
      <c r="L50" s="103">
        <v>51</v>
      </c>
      <c r="N50" s="4" t="b">
        <f t="shared" si="3"/>
        <v>1</v>
      </c>
    </row>
    <row r="51" spans="1:16" x14ac:dyDescent="0.25">
      <c r="B51" s="140" t="s">
        <v>465</v>
      </c>
      <c r="C51" s="101">
        <f>SUM(C38:C50)</f>
        <v>556</v>
      </c>
      <c r="D51" s="101">
        <f t="shared" ref="D51:H51" si="4">SUM(D38:D50)</f>
        <v>1654</v>
      </c>
      <c r="E51" s="101">
        <f t="shared" si="4"/>
        <v>11464</v>
      </c>
      <c r="F51" s="101">
        <f t="shared" si="4"/>
        <v>-4905</v>
      </c>
      <c r="G51" s="101">
        <f t="shared" si="4"/>
        <v>-7</v>
      </c>
      <c r="H51" s="101">
        <f t="shared" si="4"/>
        <v>-1503</v>
      </c>
      <c r="I51" s="101">
        <f>SUM(C51:H51)</f>
        <v>7259</v>
      </c>
      <c r="J51" s="101">
        <v>905</v>
      </c>
      <c r="K51" s="101"/>
      <c r="L51" s="101">
        <f>SUM(I51:J51)</f>
        <v>8164</v>
      </c>
      <c r="O51" s="203"/>
    </row>
    <row r="52" spans="1:16" x14ac:dyDescent="0.25">
      <c r="B52" s="125" t="s">
        <v>282</v>
      </c>
      <c r="C52" s="88"/>
      <c r="D52" s="88"/>
      <c r="E52" s="88"/>
      <c r="F52" s="88"/>
      <c r="G52" s="88"/>
      <c r="H52" s="88"/>
      <c r="I52" s="88"/>
      <c r="J52" s="88"/>
      <c r="K52" s="88"/>
      <c r="L52" s="88"/>
    </row>
    <row r="53" spans="1:16" ht="14.85" customHeight="1" x14ac:dyDescent="0.25">
      <c r="A53" s="119" t="s">
        <v>1222</v>
      </c>
      <c r="C53" s="205">
        <v>2022</v>
      </c>
      <c r="D53" s="205">
        <v>2021</v>
      </c>
      <c r="E53" s="205">
        <v>2020</v>
      </c>
      <c r="F53" s="205">
        <v>2019</v>
      </c>
      <c r="G53" s="205">
        <v>2018</v>
      </c>
      <c r="H53" s="205">
        <v>2017</v>
      </c>
      <c r="I53" s="205">
        <v>2016</v>
      </c>
      <c r="J53" s="205">
        <v>2015</v>
      </c>
      <c r="K53" s="205">
        <v>2014</v>
      </c>
      <c r="L53" s="205">
        <v>2013</v>
      </c>
    </row>
    <row r="54" spans="1:16" ht="14.85" customHeight="1" x14ac:dyDescent="0.25">
      <c r="A54" s="119">
        <f t="shared" ref="A54:A62" ca="1" si="5">IndentLevel(B54)</f>
        <v>0</v>
      </c>
      <c r="B54" s="99" t="s">
        <v>475</v>
      </c>
      <c r="C54" s="270">
        <f t="shared" ref="C54:G54" si="6">SUBTOTAL(9,C55:C62)</f>
        <v>9575.5451404135183</v>
      </c>
      <c r="D54" s="270">
        <f t="shared" si="6"/>
        <v>9296.8196846661303</v>
      </c>
      <c r="E54" s="270">
        <f t="shared" si="6"/>
        <v>9001.899950881023</v>
      </c>
      <c r="F54" s="270">
        <f t="shared" si="6"/>
        <v>8386.0030524967679</v>
      </c>
      <c r="G54" s="270">
        <f t="shared" si="6"/>
        <v>8009.3085344005485</v>
      </c>
      <c r="H54" s="115">
        <f>SUBTOTAL(9,H55:H62)</f>
        <v>8164</v>
      </c>
      <c r="I54" s="115">
        <f>SUBTOTAL(9,I55:I62)</f>
        <v>7174</v>
      </c>
      <c r="J54" s="115">
        <f>SUBTOTAL(9,J55:J62)</f>
        <v>7750</v>
      </c>
      <c r="K54" s="115">
        <f>SUBTOTAL(9,K55:K62)</f>
        <v>8093</v>
      </c>
      <c r="L54" s="115">
        <f>SUBTOTAL(9,L55:L62)</f>
        <v>7870</v>
      </c>
    </row>
    <row r="55" spans="1:16" ht="14.85" customHeight="1" x14ac:dyDescent="0.25">
      <c r="A55" s="119">
        <f t="shared" ca="1" si="5"/>
        <v>1</v>
      </c>
      <c r="B55" s="148" t="s">
        <v>721</v>
      </c>
      <c r="C55" s="270">
        <f t="shared" ref="C55:G55" si="7">SUBTOTAL(9,C56:C61)</f>
        <v>8469.8391902862768</v>
      </c>
      <c r="D55" s="270">
        <f t="shared" si="7"/>
        <v>8249.2555789175567</v>
      </c>
      <c r="E55" s="270">
        <f t="shared" si="7"/>
        <v>8002.7953689419719</v>
      </c>
      <c r="F55" s="270">
        <f t="shared" si="7"/>
        <v>7426.311643086714</v>
      </c>
      <c r="G55" s="270">
        <f t="shared" si="7"/>
        <v>7080.7094431140949</v>
      </c>
      <c r="H55" s="115">
        <f>SUBTOTAL(9,H56:H61)</f>
        <v>7259</v>
      </c>
      <c r="I55" s="115">
        <f t="shared" ref="I55:L55" si="8">SUBTOTAL(9,I56:I61)</f>
        <v>6875</v>
      </c>
      <c r="J55" s="115">
        <f t="shared" si="8"/>
        <v>7406</v>
      </c>
      <c r="K55" s="115">
        <f t="shared" si="8"/>
        <v>7749</v>
      </c>
      <c r="L55" s="115">
        <f t="shared" si="8"/>
        <v>7510</v>
      </c>
    </row>
    <row r="56" spans="1:16" ht="14.85" customHeight="1" x14ac:dyDescent="0.25">
      <c r="A56" s="119">
        <f t="shared" ca="1" si="5"/>
        <v>2</v>
      </c>
      <c r="B56" s="206" t="s">
        <v>468</v>
      </c>
      <c r="C56" s="270">
        <v>551</v>
      </c>
      <c r="D56" s="270">
        <v>552</v>
      </c>
      <c r="E56" s="270">
        <v>553</v>
      </c>
      <c r="F56" s="270">
        <v>554</v>
      </c>
      <c r="G56" s="270">
        <v>555</v>
      </c>
      <c r="H56" s="115">
        <v>556</v>
      </c>
      <c r="I56" s="115">
        <v>556</v>
      </c>
      <c r="J56" s="119">
        <v>556</v>
      </c>
      <c r="K56" s="119">
        <v>556</v>
      </c>
      <c r="L56" s="119">
        <v>556</v>
      </c>
    </row>
    <row r="57" spans="1:16" ht="14.85" customHeight="1" x14ac:dyDescent="0.25">
      <c r="A57" s="119">
        <f t="shared" ca="1" si="5"/>
        <v>2</v>
      </c>
      <c r="B57" s="206" t="s">
        <v>469</v>
      </c>
      <c r="C57" s="264">
        <f t="shared" ref="C57:K57" si="9">D57+C70+C74+C80+C82+C83</f>
        <v>1715.3305879068014</v>
      </c>
      <c r="D57" s="264">
        <f t="shared" si="9"/>
        <v>1711.629134496364</v>
      </c>
      <c r="E57" s="264">
        <f t="shared" si="9"/>
        <v>1715.0882204381357</v>
      </c>
      <c r="F57" s="264">
        <f t="shared" si="9"/>
        <v>1423.9479421044859</v>
      </c>
      <c r="G57" s="264">
        <f t="shared" si="9"/>
        <v>1399.0572079522378</v>
      </c>
      <c r="H57" s="266">
        <f t="shared" si="9"/>
        <v>1654</v>
      </c>
      <c r="I57" s="119">
        <f t="shared" si="9"/>
        <v>1597</v>
      </c>
      <c r="J57" s="119">
        <f t="shared" si="9"/>
        <v>1622</v>
      </c>
      <c r="K57" s="119">
        <f t="shared" si="9"/>
        <v>1583</v>
      </c>
      <c r="L57" s="119">
        <v>1543</v>
      </c>
    </row>
    <row r="58" spans="1:16" ht="14.85" customHeight="1" x14ac:dyDescent="0.25">
      <c r="A58" s="119">
        <f t="shared" ca="1" si="5"/>
        <v>2</v>
      </c>
      <c r="B58" s="206" t="s">
        <v>470</v>
      </c>
      <c r="C58" s="264">
        <f t="shared" ref="C58:K58" si="10">D58+C68+C77+C67</f>
        <v>16635.425269046133</v>
      </c>
      <c r="D58" s="264">
        <f t="shared" si="10"/>
        <v>15683.193111087841</v>
      </c>
      <c r="E58" s="264">
        <f t="shared" si="10"/>
        <v>14684.923815170479</v>
      </c>
      <c r="F58" s="264">
        <f t="shared" si="10"/>
        <v>13638.230367648861</v>
      </c>
      <c r="G58" s="264">
        <f t="shared" si="10"/>
        <v>12543.168901828487</v>
      </c>
      <c r="H58" s="266">
        <f t="shared" si="10"/>
        <v>11464</v>
      </c>
      <c r="I58" s="119">
        <f t="shared" si="10"/>
        <v>11040</v>
      </c>
      <c r="J58" s="119">
        <f t="shared" si="10"/>
        <v>10322</v>
      </c>
      <c r="K58" s="119">
        <f t="shared" si="10"/>
        <v>9545</v>
      </c>
      <c r="L58" s="119">
        <v>8406</v>
      </c>
    </row>
    <row r="59" spans="1:16" ht="14.85" customHeight="1" x14ac:dyDescent="0.25">
      <c r="A59" s="119">
        <f t="shared" ca="1" si="5"/>
        <v>2</v>
      </c>
      <c r="B59" s="206" t="s">
        <v>471</v>
      </c>
      <c r="C59" s="264">
        <f t="shared" ref="C59:K59" si="11">D59+C76+C81</f>
        <v>-7715</v>
      </c>
      <c r="D59" s="264">
        <f t="shared" si="11"/>
        <v>-7179</v>
      </c>
      <c r="E59" s="264">
        <f t="shared" si="11"/>
        <v>-6630</v>
      </c>
      <c r="F59" s="264">
        <f t="shared" si="11"/>
        <v>-6068</v>
      </c>
      <c r="G59" s="264">
        <f t="shared" si="11"/>
        <v>-5493</v>
      </c>
      <c r="H59" s="119">
        <f t="shared" si="11"/>
        <v>-4905</v>
      </c>
      <c r="I59" s="119">
        <f t="shared" si="11"/>
        <v>-4489</v>
      </c>
      <c r="J59" s="119">
        <f t="shared" si="11"/>
        <v>-3735</v>
      </c>
      <c r="K59" s="119">
        <f t="shared" si="11"/>
        <v>-2844</v>
      </c>
      <c r="L59" s="119">
        <v>-2195</v>
      </c>
    </row>
    <row r="60" spans="1:16" ht="14.85" customHeight="1" x14ac:dyDescent="0.25">
      <c r="A60" s="119">
        <f t="shared" ca="1" si="5"/>
        <v>2</v>
      </c>
      <c r="B60" s="206" t="s">
        <v>472</v>
      </c>
      <c r="C60" s="264">
        <f t="shared" ref="C60:K60" si="12">D60+C75</f>
        <v>4.25</v>
      </c>
      <c r="D60" s="264">
        <f t="shared" si="12"/>
        <v>2</v>
      </c>
      <c r="E60" s="264">
        <f t="shared" si="12"/>
        <v>-0.25</v>
      </c>
      <c r="F60" s="264">
        <f t="shared" si="12"/>
        <v>-2.5</v>
      </c>
      <c r="G60" s="264">
        <f t="shared" si="12"/>
        <v>-4.75</v>
      </c>
      <c r="H60" s="119">
        <f t="shared" si="12"/>
        <v>-7</v>
      </c>
      <c r="I60" s="119">
        <f t="shared" si="12"/>
        <v>-8</v>
      </c>
      <c r="J60" s="119">
        <f t="shared" si="12"/>
        <v>-11</v>
      </c>
      <c r="K60" s="119">
        <f t="shared" si="12"/>
        <v>-13</v>
      </c>
      <c r="L60" s="119">
        <v>-16</v>
      </c>
    </row>
    <row r="61" spans="1:16" ht="14.85" customHeight="1" x14ac:dyDescent="0.25">
      <c r="A61" s="119">
        <f t="shared" ca="1" si="5"/>
        <v>2</v>
      </c>
      <c r="B61" s="206" t="s">
        <v>473</v>
      </c>
      <c r="C61" s="264">
        <f t="shared" ref="C61:K61" si="13">D61+C69</f>
        <v>-2721.1666666666588</v>
      </c>
      <c r="D61" s="264">
        <f t="shared" si="13"/>
        <v>-2520.5666666666475</v>
      </c>
      <c r="E61" s="264">
        <f t="shared" si="13"/>
        <v>-2319.9666666666435</v>
      </c>
      <c r="F61" s="264">
        <f t="shared" si="13"/>
        <v>-2119.3666666666327</v>
      </c>
      <c r="G61" s="264">
        <f t="shared" si="13"/>
        <v>-1918.7666666666289</v>
      </c>
      <c r="H61" s="119">
        <f t="shared" si="13"/>
        <v>-1503</v>
      </c>
      <c r="I61" s="119">
        <f t="shared" si="13"/>
        <v>-1821</v>
      </c>
      <c r="J61" s="119">
        <f t="shared" si="13"/>
        <v>-1348</v>
      </c>
      <c r="K61" s="119">
        <f t="shared" si="13"/>
        <v>-1078</v>
      </c>
      <c r="L61" s="119">
        <v>-784</v>
      </c>
    </row>
    <row r="62" spans="1:16" ht="14.85" customHeight="1" x14ac:dyDescent="0.25">
      <c r="A62" s="119">
        <f t="shared" ca="1" si="5"/>
        <v>1</v>
      </c>
      <c r="B62" s="148" t="s">
        <v>474</v>
      </c>
      <c r="C62" s="100">
        <f t="shared" ref="C62:K62" si="14">D62+C84</f>
        <v>1105.705950127242</v>
      </c>
      <c r="D62" s="100">
        <f t="shared" si="14"/>
        <v>1047.5641057485745</v>
      </c>
      <c r="E62" s="100">
        <f t="shared" si="14"/>
        <v>999.10458193905129</v>
      </c>
      <c r="F62" s="100">
        <f t="shared" si="14"/>
        <v>959.69140941005389</v>
      </c>
      <c r="G62" s="100">
        <f t="shared" si="14"/>
        <v>928.59909128645313</v>
      </c>
      <c r="H62" s="101">
        <f t="shared" si="14"/>
        <v>905</v>
      </c>
      <c r="I62" s="101">
        <f t="shared" si="14"/>
        <v>299</v>
      </c>
      <c r="J62" s="101">
        <f t="shared" si="14"/>
        <v>344</v>
      </c>
      <c r="K62" s="101">
        <f t="shared" si="14"/>
        <v>344</v>
      </c>
      <c r="L62" s="119">
        <v>360</v>
      </c>
    </row>
    <row r="63" spans="1:16" x14ac:dyDescent="0.25">
      <c r="H63" s="6"/>
      <c r="I63" s="6"/>
    </row>
    <row r="64" spans="1:16" x14ac:dyDescent="0.25">
      <c r="B64" s="4"/>
      <c r="C64" s="205">
        <v>2022</v>
      </c>
      <c r="D64" s="205">
        <v>2021</v>
      </c>
      <c r="E64" s="205">
        <v>2020</v>
      </c>
      <c r="F64" s="205">
        <v>2019</v>
      </c>
      <c r="G64" s="205">
        <v>2018</v>
      </c>
      <c r="H64" s="205">
        <v>2017</v>
      </c>
      <c r="I64" s="205">
        <v>2016</v>
      </c>
      <c r="J64" s="205">
        <v>2015</v>
      </c>
      <c r="K64" s="205">
        <v>2014</v>
      </c>
      <c r="L64" s="84" t="s">
        <v>1028</v>
      </c>
      <c r="M64" s="84" t="s">
        <v>1116</v>
      </c>
      <c r="N64" s="84" t="s">
        <v>1025</v>
      </c>
      <c r="O64" s="171" t="s">
        <v>886</v>
      </c>
      <c r="P64" s="1" t="s">
        <v>1152</v>
      </c>
    </row>
    <row r="65" spans="1:15" x14ac:dyDescent="0.25">
      <c r="A65" s="119">
        <f t="shared" ref="A65:A98" ca="1" si="15">IndentLevel(B65)</f>
        <v>0</v>
      </c>
      <c r="B65" s="99" t="s">
        <v>842</v>
      </c>
      <c r="C65" s="100">
        <f t="shared" ref="C65:G65" si="16">SUBTOTAL(9,C66:C98)</f>
        <v>279.72545574738444</v>
      </c>
      <c r="D65" s="100">
        <f t="shared" si="16"/>
        <v>295.91973378511045</v>
      </c>
      <c r="E65" s="100">
        <f t="shared" si="16"/>
        <v>616.89689838425431</v>
      </c>
      <c r="F65" s="100">
        <f t="shared" si="16"/>
        <v>377.69451809622007</v>
      </c>
      <c r="G65" s="100">
        <f t="shared" si="16"/>
        <v>-153.69146559945014</v>
      </c>
      <c r="H65" s="100">
        <f>SUBTOTAL(9,H66:H98)</f>
        <v>996</v>
      </c>
      <c r="I65" s="115">
        <f t="shared" ref="I65:K65" si="17">SUBTOTAL(9,I66:I98)</f>
        <v>-570</v>
      </c>
      <c r="J65" s="115">
        <f t="shared" si="17"/>
        <v>-334</v>
      </c>
      <c r="K65" s="115">
        <f t="shared" si="17"/>
        <v>232</v>
      </c>
      <c r="L65" s="119"/>
    </row>
    <row r="66" spans="1:15" x14ac:dyDescent="0.25">
      <c r="A66" s="119">
        <f t="shared" ca="1" si="15"/>
        <v>1</v>
      </c>
      <c r="B66" s="148" t="s">
        <v>843</v>
      </c>
      <c r="C66" s="100">
        <f t="shared" ref="C66:G66" si="18">SUBTOTAL(9,C67:C83)</f>
        <v>221.58361136871713</v>
      </c>
      <c r="D66" s="100">
        <f t="shared" si="18"/>
        <v>247.46020997558719</v>
      </c>
      <c r="E66" s="100">
        <f t="shared" si="18"/>
        <v>577.48372585525692</v>
      </c>
      <c r="F66" s="100">
        <f t="shared" si="18"/>
        <v>346.60219997261936</v>
      </c>
      <c r="G66" s="100">
        <f t="shared" si="18"/>
        <v>-177.29055688590324</v>
      </c>
      <c r="H66" s="100">
        <f>SUBTOTAL(9,H67:H83)</f>
        <v>390</v>
      </c>
      <c r="I66" s="115">
        <f t="shared" ref="I66:K66" si="19">SUBTOTAL(9,I67:I83)</f>
        <v>-525</v>
      </c>
      <c r="J66" s="115">
        <f t="shared" si="19"/>
        <v>-334</v>
      </c>
      <c r="K66" s="115">
        <f t="shared" si="19"/>
        <v>248</v>
      </c>
      <c r="L66" s="119"/>
    </row>
    <row r="67" spans="1:15" x14ac:dyDescent="0.25">
      <c r="A67" s="119">
        <f t="shared" ca="1" si="15"/>
        <v>2</v>
      </c>
      <c r="B67" s="169" t="s">
        <v>463</v>
      </c>
      <c r="C67" s="100"/>
      <c r="D67" s="100"/>
      <c r="E67" s="100"/>
      <c r="F67" s="100"/>
      <c r="G67" s="100"/>
      <c r="H67" s="100">
        <v>126</v>
      </c>
      <c r="I67" s="119"/>
      <c r="K67" s="119"/>
      <c r="L67" s="119"/>
    </row>
    <row r="68" spans="1:15" x14ac:dyDescent="0.25">
      <c r="A68" s="119">
        <f t="shared" ca="1" si="15"/>
        <v>2</v>
      </c>
      <c r="B68" s="169" t="s">
        <v>456</v>
      </c>
      <c r="C68" s="100">
        <f>'Income Statement (Y)'!C38</f>
        <v>1591.5778847855368</v>
      </c>
      <c r="D68" s="100">
        <f>'Income Statement (Y)'!D38</f>
        <v>1650.7472040737582</v>
      </c>
      <c r="E68" s="100">
        <f>'Income Statement (Y)'!E38</f>
        <v>1718.7471352290779</v>
      </c>
      <c r="F68" s="100">
        <f>'Income Statement (Y)'!F38</f>
        <v>1790.2266861661963</v>
      </c>
      <c r="G68" s="100">
        <f>'Income Statement (Y)'!G38</f>
        <v>2124.814813566642</v>
      </c>
      <c r="H68" s="100">
        <f>'Income Statement (Y)'!H38</f>
        <v>999</v>
      </c>
      <c r="I68" s="103">
        <f>'Income Statement (Y)'!I38</f>
        <v>1394</v>
      </c>
      <c r="J68" s="103">
        <f>'Income Statement (Y)'!J38</f>
        <v>1399</v>
      </c>
      <c r="K68" s="103">
        <f>'Income Statement (Y)'!K38</f>
        <v>1651</v>
      </c>
      <c r="L68" s="119"/>
    </row>
    <row r="69" spans="1:15" x14ac:dyDescent="0.25">
      <c r="A69" s="119">
        <f t="shared" ca="1" si="15"/>
        <v>2</v>
      </c>
      <c r="B69" s="169" t="s">
        <v>510</v>
      </c>
      <c r="C69" s="100">
        <f>'N14 OCI'!C55</f>
        <v>-200.60000000001128</v>
      </c>
      <c r="D69" s="100">
        <f>'N14 OCI'!D55</f>
        <v>-200.600000000004</v>
      </c>
      <c r="E69" s="100">
        <f>'N14 OCI'!E55</f>
        <v>-200.60000000001082</v>
      </c>
      <c r="F69" s="100">
        <f>'N14 OCI'!F55</f>
        <v>-200.60000000000377</v>
      </c>
      <c r="G69" s="100">
        <f>'N14 OCI'!G55</f>
        <v>-415.76666666662891</v>
      </c>
      <c r="H69" s="100">
        <f>'N14 OCI'!H55</f>
        <v>318</v>
      </c>
      <c r="I69" s="119">
        <f>'N14 OCI'!I55</f>
        <v>-473</v>
      </c>
      <c r="J69" s="119">
        <f>'N14 OCI'!J55</f>
        <v>-270</v>
      </c>
      <c r="K69" s="119">
        <f>'N14 OCI'!K55</f>
        <v>-294</v>
      </c>
      <c r="L69" s="119"/>
    </row>
    <row r="70" spans="1:15" x14ac:dyDescent="0.25">
      <c r="A70" s="119">
        <f t="shared" ca="1" si="15"/>
        <v>2</v>
      </c>
      <c r="B70" s="169" t="s">
        <v>457</v>
      </c>
      <c r="C70" s="100">
        <f>SUBTOTAL(9,C71:C72)</f>
        <v>-20.598546589562918</v>
      </c>
      <c r="D70" s="100">
        <f t="shared" ref="D70:G70" si="20">SUBTOTAL(9,D71:D72)</f>
        <v>-30.059085941772103</v>
      </c>
      <c r="E70" s="100">
        <f t="shared" si="20"/>
        <v>262.24027833365011</v>
      </c>
      <c r="F70" s="100">
        <f t="shared" si="20"/>
        <v>-6.3092658477517851</v>
      </c>
      <c r="G70" s="100">
        <f t="shared" si="20"/>
        <v>-288.44279204776223</v>
      </c>
      <c r="H70" s="100">
        <v>6</v>
      </c>
      <c r="I70" s="103">
        <v>6</v>
      </c>
      <c r="J70" s="103">
        <v>9</v>
      </c>
      <c r="K70" s="119">
        <v>9</v>
      </c>
    </row>
    <row r="71" spans="1:15" x14ac:dyDescent="0.25">
      <c r="A71" s="119">
        <f t="shared" ca="1" si="15"/>
        <v>3</v>
      </c>
      <c r="B71" s="207" t="s">
        <v>932</v>
      </c>
      <c r="C71" s="100">
        <f>$L71</f>
        <v>7.5</v>
      </c>
      <c r="D71" s="100">
        <f t="shared" ref="D71:G71" si="21">$L71</f>
        <v>7.5</v>
      </c>
      <c r="E71" s="100">
        <f t="shared" si="21"/>
        <v>7.5</v>
      </c>
      <c r="F71" s="100">
        <f t="shared" si="21"/>
        <v>7.5</v>
      </c>
      <c r="G71" s="100">
        <f t="shared" si="21"/>
        <v>7.5</v>
      </c>
      <c r="H71" s="100">
        <v>6</v>
      </c>
      <c r="I71" s="103">
        <v>6</v>
      </c>
      <c r="J71" s="103">
        <v>9</v>
      </c>
      <c r="K71" s="119">
        <v>9</v>
      </c>
      <c r="L71" s="264">
        <f>AVERAGE(H71:K71)</f>
        <v>7.5</v>
      </c>
      <c r="N71" s="4" t="s">
        <v>1011</v>
      </c>
    </row>
    <row r="72" spans="1:15" x14ac:dyDescent="0.25">
      <c r="A72" s="119">
        <f t="shared" ca="1" si="15"/>
        <v>3</v>
      </c>
      <c r="B72" s="207" t="s">
        <v>1081</v>
      </c>
      <c r="C72" s="100">
        <f>Financing!C8</f>
        <v>-28.098546589562918</v>
      </c>
      <c r="D72" s="100">
        <f>Financing!D8</f>
        <v>-37.559085941772103</v>
      </c>
      <c r="E72" s="100">
        <f>Financing!E8</f>
        <v>254.74027833365011</v>
      </c>
      <c r="F72" s="100">
        <f>Financing!F8</f>
        <v>-13.809265847751785</v>
      </c>
      <c r="G72" s="100">
        <f>Financing!G8</f>
        <v>-295.94279204776223</v>
      </c>
      <c r="H72" s="100">
        <f>'Equity (Y)'!H106</f>
        <v>0</v>
      </c>
      <c r="I72" s="100">
        <f>'Equity (Y)'!I106</f>
        <v>0</v>
      </c>
      <c r="J72" s="100">
        <f>'Equity (Y)'!J106</f>
        <v>0</v>
      </c>
      <c r="K72" s="100">
        <f>'Equity (Y)'!K106</f>
        <v>0</v>
      </c>
      <c r="L72" s="264"/>
    </row>
    <row r="73" spans="1:15" x14ac:dyDescent="0.25">
      <c r="A73" s="119">
        <f t="shared" ca="1" si="15"/>
        <v>2</v>
      </c>
      <c r="B73" s="169" t="s">
        <v>466</v>
      </c>
      <c r="C73" s="100"/>
      <c r="D73" s="100"/>
      <c r="E73" s="100"/>
      <c r="F73" s="100"/>
      <c r="G73" s="100"/>
      <c r="H73" s="100"/>
      <c r="L73" s="119"/>
    </row>
    <row r="74" spans="1:15" x14ac:dyDescent="0.25">
      <c r="A74" s="119">
        <f t="shared" ca="1" si="15"/>
        <v>3</v>
      </c>
      <c r="B74" s="143" t="s">
        <v>469</v>
      </c>
      <c r="C74" s="100">
        <f t="shared" ref="C74:F74" si="22">$L74*C$64+$M74</f>
        <v>7.3000000000001819</v>
      </c>
      <c r="D74" s="100">
        <f t="shared" si="22"/>
        <v>9.6000000000003638</v>
      </c>
      <c r="E74" s="100">
        <f t="shared" si="22"/>
        <v>11.899999999999636</v>
      </c>
      <c r="F74" s="100">
        <f t="shared" si="22"/>
        <v>14.199999999999818</v>
      </c>
      <c r="G74" s="100">
        <f>$L74*G$64+$M74</f>
        <v>16.5</v>
      </c>
      <c r="H74" s="100">
        <v>17</v>
      </c>
      <c r="I74" s="119">
        <v>23</v>
      </c>
      <c r="J74" s="119">
        <v>25</v>
      </c>
      <c r="K74" s="119">
        <v>24</v>
      </c>
      <c r="L74" s="119">
        <f>SLOPE(H74:K74,$H$64:$K$64)</f>
        <v>-2.2999999999999998</v>
      </c>
      <c r="M74" s="4">
        <f>INTERCEPT(H74:K74,$H$64:$K$64)</f>
        <v>4657.8999999999996</v>
      </c>
      <c r="N74" s="4" t="s">
        <v>1020</v>
      </c>
    </row>
    <row r="75" spans="1:15" x14ac:dyDescent="0.25">
      <c r="A75" s="119">
        <f t="shared" ca="1" si="15"/>
        <v>3</v>
      </c>
      <c r="B75" s="143" t="s">
        <v>472</v>
      </c>
      <c r="C75" s="100">
        <f t="shared" ref="C75:G75" si="23">$L75</f>
        <v>2.25</v>
      </c>
      <c r="D75" s="100">
        <f t="shared" si="23"/>
        <v>2.25</v>
      </c>
      <c r="E75" s="100">
        <f t="shared" si="23"/>
        <v>2.25</v>
      </c>
      <c r="F75" s="100">
        <f t="shared" si="23"/>
        <v>2.25</v>
      </c>
      <c r="G75" s="100">
        <f t="shared" si="23"/>
        <v>2.25</v>
      </c>
      <c r="H75" s="100">
        <v>1</v>
      </c>
      <c r="I75" s="103">
        <v>3</v>
      </c>
      <c r="J75" s="103">
        <v>2</v>
      </c>
      <c r="K75" s="119">
        <v>3</v>
      </c>
      <c r="L75" s="264">
        <f>AVERAGE(H75:K75)</f>
        <v>2.25</v>
      </c>
      <c r="N75" s="4" t="s">
        <v>1011</v>
      </c>
    </row>
    <row r="76" spans="1:15" x14ac:dyDescent="0.25">
      <c r="A76" s="119">
        <f t="shared" ca="1" si="15"/>
        <v>2</v>
      </c>
      <c r="B76" s="169" t="s">
        <v>453</v>
      </c>
      <c r="C76" s="100">
        <f>'Cash Flow (Y)'!C66</f>
        <v>-636</v>
      </c>
      <c r="D76" s="100">
        <f>'Cash Flow (Y)'!D66</f>
        <v>-636</v>
      </c>
      <c r="E76" s="100">
        <f>'Cash Flow (Y)'!E66</f>
        <v>-636</v>
      </c>
      <c r="F76" s="100">
        <f>'Cash Flow (Y)'!F66</f>
        <v>-636</v>
      </c>
      <c r="G76" s="100">
        <f>'Cash Flow (Y)'!G66</f>
        <v>-636</v>
      </c>
      <c r="H76" s="100">
        <f>'Cash Flow (Y)'!H66</f>
        <v>-451</v>
      </c>
      <c r="I76" s="102">
        <f>'Cash Flow (Y)'!I66</f>
        <v>-778</v>
      </c>
      <c r="J76" s="102">
        <f>'Cash Flow (Y)'!J66</f>
        <v>-900</v>
      </c>
      <c r="K76" s="102">
        <f>'Cash Flow (Y)'!K66</f>
        <v>-670</v>
      </c>
      <c r="N76" s="119"/>
    </row>
    <row r="77" spans="1:15" x14ac:dyDescent="0.25">
      <c r="A77" s="119">
        <f t="shared" ca="1" si="15"/>
        <v>2</v>
      </c>
      <c r="B77" s="169" t="s">
        <v>458</v>
      </c>
      <c r="C77" s="100">
        <f>'Cash Flow (Y)'!C65</f>
        <v>-639.3457268272457</v>
      </c>
      <c r="D77" s="100">
        <f>'Cash Flow (Y)'!D65</f>
        <v>-652.4779081563953</v>
      </c>
      <c r="E77" s="100">
        <f>'Cash Flow (Y)'!E65</f>
        <v>-672.05368770745997</v>
      </c>
      <c r="F77" s="100">
        <f>'Cash Flow (Y)'!F65</f>
        <v>-695.16522034582124</v>
      </c>
      <c r="G77" s="100">
        <f>'Cash Flow (Y)'!G65</f>
        <v>-1045.6459117381542</v>
      </c>
      <c r="H77" s="100">
        <f>'Cash Flow (Y)'!H65</f>
        <v>-701</v>
      </c>
      <c r="I77" s="102">
        <f>'Cash Flow (Y)'!I65</f>
        <v>-676</v>
      </c>
      <c r="J77" s="102">
        <f>'Cash Flow (Y)'!J65</f>
        <v>-622</v>
      </c>
      <c r="K77" s="102">
        <f>'Cash Flow (Y)'!K65</f>
        <v>-512</v>
      </c>
    </row>
    <row r="78" spans="1:15" x14ac:dyDescent="0.25">
      <c r="A78" s="119">
        <f t="shared" ca="1" si="15"/>
        <v>2</v>
      </c>
      <c r="B78" s="169" t="s">
        <v>452</v>
      </c>
      <c r="C78" s="100">
        <f t="shared" ref="C78:G78" si="24">$L78</f>
        <v>0</v>
      </c>
      <c r="D78" s="100">
        <f t="shared" si="24"/>
        <v>0</v>
      </c>
      <c r="E78" s="100">
        <f t="shared" si="24"/>
        <v>0</v>
      </c>
      <c r="F78" s="100">
        <f t="shared" si="24"/>
        <v>0</v>
      </c>
      <c r="G78" s="100">
        <f t="shared" si="24"/>
        <v>0</v>
      </c>
      <c r="H78" s="100">
        <v>0</v>
      </c>
      <c r="I78" s="119">
        <v>0</v>
      </c>
      <c r="J78" s="119">
        <v>0</v>
      </c>
      <c r="K78" s="119">
        <v>0</v>
      </c>
      <c r="L78" s="119">
        <v>0</v>
      </c>
      <c r="N78" s="4" t="s">
        <v>1037</v>
      </c>
    </row>
    <row r="79" spans="1:15" x14ac:dyDescent="0.25">
      <c r="A79" s="119">
        <f t="shared" ca="1" si="15"/>
        <v>2</v>
      </c>
      <c r="B79" s="169" t="s">
        <v>459</v>
      </c>
      <c r="C79" s="100"/>
      <c r="D79" s="100"/>
      <c r="E79" s="100"/>
      <c r="F79" s="100"/>
      <c r="G79" s="100"/>
      <c r="H79" s="100"/>
      <c r="I79" s="119"/>
      <c r="J79" s="119"/>
      <c r="K79" s="119"/>
    </row>
    <row r="80" spans="1:15" x14ac:dyDescent="0.25">
      <c r="A80" s="119">
        <f t="shared" ca="1" si="15"/>
        <v>3</v>
      </c>
      <c r="B80" s="143" t="s">
        <v>469</v>
      </c>
      <c r="C80" s="100">
        <f t="shared" ref="C80:F80" si="25">$L80</f>
        <v>-2.75</v>
      </c>
      <c r="D80" s="100">
        <f t="shared" si="25"/>
        <v>-2.75</v>
      </c>
      <c r="E80" s="100">
        <f t="shared" si="25"/>
        <v>-2.75</v>
      </c>
      <c r="F80" s="100">
        <f t="shared" si="25"/>
        <v>-2.75</v>
      </c>
      <c r="G80" s="100">
        <f>$L80</f>
        <v>-2.75</v>
      </c>
      <c r="H80" s="100">
        <v>3</v>
      </c>
      <c r="I80" s="102">
        <v>-5</v>
      </c>
      <c r="J80" s="102">
        <v>-4</v>
      </c>
      <c r="K80" s="119">
        <v>-5</v>
      </c>
      <c r="L80" s="264">
        <f>AVERAGE(H80:K80)</f>
        <v>-2.75</v>
      </c>
      <c r="N80" s="4" t="s">
        <v>1011</v>
      </c>
      <c r="O80" s="4" t="s">
        <v>1072</v>
      </c>
    </row>
    <row r="81" spans="1:15" x14ac:dyDescent="0.25">
      <c r="A81" s="119">
        <f t="shared" ca="1" si="15"/>
        <v>3</v>
      </c>
      <c r="B81" s="143" t="s">
        <v>471</v>
      </c>
      <c r="C81" s="100">
        <f t="shared" ref="C81:F81" si="26">$L81+D81</f>
        <v>100</v>
      </c>
      <c r="D81" s="100">
        <f t="shared" si="26"/>
        <v>87</v>
      </c>
      <c r="E81" s="100">
        <f t="shared" si="26"/>
        <v>74</v>
      </c>
      <c r="F81" s="100">
        <f t="shared" si="26"/>
        <v>61</v>
      </c>
      <c r="G81" s="100">
        <f>$L81+H81</f>
        <v>48</v>
      </c>
      <c r="H81" s="100">
        <v>35</v>
      </c>
      <c r="I81" s="103">
        <v>24</v>
      </c>
      <c r="J81" s="103">
        <v>9</v>
      </c>
      <c r="K81" s="119">
        <v>21</v>
      </c>
      <c r="L81" s="119">
        <f>SLOPE(H81:J81,$H$64:$J$64)</f>
        <v>13</v>
      </c>
      <c r="N81" s="4" t="s">
        <v>1044</v>
      </c>
    </row>
    <row r="82" spans="1:15" x14ac:dyDescent="0.25">
      <c r="A82" s="119">
        <f t="shared" ca="1" si="15"/>
        <v>2</v>
      </c>
      <c r="B82" s="169" t="s">
        <v>467</v>
      </c>
      <c r="C82" s="100">
        <f t="shared" ref="C82:G83" si="27">$L82</f>
        <v>0</v>
      </c>
      <c r="D82" s="100">
        <f t="shared" si="27"/>
        <v>0</v>
      </c>
      <c r="E82" s="100">
        <f t="shared" si="27"/>
        <v>0</v>
      </c>
      <c r="F82" s="100">
        <f t="shared" si="27"/>
        <v>0</v>
      </c>
      <c r="G82" s="100">
        <f t="shared" si="27"/>
        <v>0</v>
      </c>
      <c r="H82" s="100">
        <f>$L82</f>
        <v>0</v>
      </c>
      <c r="I82" s="102">
        <v>-73</v>
      </c>
      <c r="J82" s="102">
        <v>-3</v>
      </c>
      <c r="L82" s="119">
        <v>0</v>
      </c>
      <c r="N82" s="4" t="s">
        <v>1037</v>
      </c>
      <c r="O82" s="4" t="s">
        <v>1072</v>
      </c>
    </row>
    <row r="83" spans="1:15" x14ac:dyDescent="0.25">
      <c r="A83" s="119">
        <f t="shared" ca="1" si="15"/>
        <v>2</v>
      </c>
      <c r="B83" s="169" t="s">
        <v>460</v>
      </c>
      <c r="C83" s="100">
        <f>$L83</f>
        <v>19.75</v>
      </c>
      <c r="D83" s="100">
        <f t="shared" si="27"/>
        <v>19.75</v>
      </c>
      <c r="E83" s="100">
        <f t="shared" si="27"/>
        <v>19.75</v>
      </c>
      <c r="F83" s="100">
        <f t="shared" si="27"/>
        <v>19.75</v>
      </c>
      <c r="G83" s="100">
        <f t="shared" si="27"/>
        <v>19.75</v>
      </c>
      <c r="H83" s="100">
        <v>31</v>
      </c>
      <c r="I83" s="103">
        <v>24</v>
      </c>
      <c r="J83" s="103">
        <v>12</v>
      </c>
      <c r="K83" s="119">
        <v>12</v>
      </c>
      <c r="L83" s="264">
        <f>AVERAGE(H83:K83)</f>
        <v>19.75</v>
      </c>
      <c r="N83" s="4" t="s">
        <v>1011</v>
      </c>
    </row>
    <row r="84" spans="1:15" x14ac:dyDescent="0.25">
      <c r="A84" s="119">
        <f t="shared" ca="1" si="15"/>
        <v>1</v>
      </c>
      <c r="B84" s="148" t="s">
        <v>844</v>
      </c>
      <c r="C84" s="100">
        <f t="shared" ref="C84:G84" si="28">SUBTOTAL(9,C85:C98)</f>
        <v>58.141844378667351</v>
      </c>
      <c r="D84" s="100">
        <f t="shared" si="28"/>
        <v>48.459523809523262</v>
      </c>
      <c r="E84" s="100">
        <f t="shared" si="28"/>
        <v>39.413172528997379</v>
      </c>
      <c r="F84" s="100">
        <f t="shared" si="28"/>
        <v>31.092318123600705</v>
      </c>
      <c r="G84" s="100">
        <f t="shared" si="28"/>
        <v>23.599091286453103</v>
      </c>
      <c r="H84" s="100">
        <f>SUBTOTAL(9,H85:H98)</f>
        <v>606</v>
      </c>
      <c r="I84" s="119">
        <f>SUBTOTAL(9,I85:I98)</f>
        <v>-45</v>
      </c>
      <c r="J84" s="119">
        <f>SUBTOTAL(9,J85:J98)</f>
        <v>0</v>
      </c>
      <c r="K84" s="119">
        <f>SUBTOTAL(9,K85:K98)</f>
        <v>-16</v>
      </c>
      <c r="L84" s="119"/>
    </row>
    <row r="85" spans="1:15" x14ac:dyDescent="0.25">
      <c r="A85" s="119">
        <f t="shared" ca="1" si="15"/>
        <v>2</v>
      </c>
      <c r="B85" s="169" t="s">
        <v>456</v>
      </c>
      <c r="C85" s="100">
        <f>'Income Statement (Y)'!C36</f>
        <v>32.091844378668078</v>
      </c>
      <c r="D85" s="100">
        <f>'Income Statement (Y)'!D36</f>
        <v>36.609523809523807</v>
      </c>
      <c r="E85" s="100">
        <f>'Income Statement (Y)'!E36</f>
        <v>41.763172528998652</v>
      </c>
      <c r="F85" s="100">
        <f>'Income Statement (Y)'!F36</f>
        <v>47.642318123601797</v>
      </c>
      <c r="G85" s="100">
        <f>'Income Statement (Y)'!G36</f>
        <v>54.349091286454012</v>
      </c>
      <c r="H85" s="100">
        <f>'Income Statement (Y)'!H36</f>
        <v>-5</v>
      </c>
      <c r="I85" s="115">
        <f>'Income Statement (Y)'!I36</f>
        <v>62</v>
      </c>
      <c r="J85" s="115">
        <f>'Income Statement (Y)'!J36</f>
        <v>71</v>
      </c>
      <c r="K85" s="115">
        <f>'Income Statement (Y)'!K36</f>
        <v>85</v>
      </c>
      <c r="L85" s="119"/>
    </row>
    <row r="86" spans="1:15" x14ac:dyDescent="0.25">
      <c r="A86" s="119">
        <f t="shared" ca="1" si="15"/>
        <v>2</v>
      </c>
      <c r="B86" s="169" t="s">
        <v>510</v>
      </c>
      <c r="C86" s="115">
        <f>'N14 OCI'!C56</f>
        <v>6</v>
      </c>
      <c r="D86" s="115">
        <f>'N14 OCI'!D56</f>
        <v>2.8000000000001819</v>
      </c>
      <c r="E86" s="115">
        <f>'N14 OCI'!E56</f>
        <v>-0.4000000000005457</v>
      </c>
      <c r="F86" s="115">
        <f>'N14 OCI'!F56</f>
        <v>-3.6000000000003638</v>
      </c>
      <c r="G86" s="115">
        <f>'N14 OCI'!G56</f>
        <v>-6.8000000000001819</v>
      </c>
      <c r="H86" s="115">
        <f>'N14 OCI'!H56</f>
        <v>20</v>
      </c>
      <c r="I86" s="115">
        <f>'N14 OCI'!I56</f>
        <v>-17</v>
      </c>
      <c r="J86" s="115">
        <f>'N14 OCI'!J56</f>
        <v>-15</v>
      </c>
      <c r="K86" s="115">
        <f>'N14 OCI'!K56</f>
        <v>-11</v>
      </c>
      <c r="L86" s="119"/>
    </row>
    <row r="87" spans="1:15" x14ac:dyDescent="0.25">
      <c r="A87" s="119">
        <f t="shared" ca="1" si="15"/>
        <v>2</v>
      </c>
      <c r="B87" s="169" t="s">
        <v>457</v>
      </c>
      <c r="H87" s="115">
        <v>0</v>
      </c>
      <c r="I87" s="115">
        <v>0</v>
      </c>
      <c r="J87" s="119">
        <v>0</v>
      </c>
      <c r="K87" s="119">
        <v>0</v>
      </c>
      <c r="L87" s="119"/>
    </row>
    <row r="88" spans="1:15" x14ac:dyDescent="0.25">
      <c r="A88" s="119">
        <f t="shared" ca="1" si="15"/>
        <v>2</v>
      </c>
      <c r="B88" s="169" t="s">
        <v>466</v>
      </c>
      <c r="H88" s="115">
        <v>0</v>
      </c>
      <c r="I88" s="115">
        <v>0</v>
      </c>
      <c r="J88" s="119">
        <v>0</v>
      </c>
      <c r="K88" s="119">
        <v>0</v>
      </c>
      <c r="L88" s="119"/>
    </row>
    <row r="89" spans="1:15" x14ac:dyDescent="0.25">
      <c r="A89" s="119">
        <f t="shared" ca="1" si="15"/>
        <v>3</v>
      </c>
      <c r="B89" s="207" t="s">
        <v>469</v>
      </c>
      <c r="H89" s="115">
        <v>0</v>
      </c>
      <c r="I89" s="115">
        <v>0</v>
      </c>
      <c r="J89" s="119">
        <v>0</v>
      </c>
      <c r="K89" s="119">
        <v>0</v>
      </c>
      <c r="L89" s="119"/>
    </row>
    <row r="90" spans="1:15" x14ac:dyDescent="0.25">
      <c r="A90" s="119">
        <f t="shared" ca="1" si="15"/>
        <v>3</v>
      </c>
      <c r="B90" s="207" t="s">
        <v>472</v>
      </c>
      <c r="H90" s="115">
        <v>0</v>
      </c>
      <c r="I90" s="115">
        <v>0</v>
      </c>
      <c r="J90" s="119">
        <v>0</v>
      </c>
      <c r="K90" s="119">
        <v>0</v>
      </c>
      <c r="L90" s="119"/>
    </row>
    <row r="91" spans="1:15" x14ac:dyDescent="0.25">
      <c r="A91" s="119">
        <f t="shared" ca="1" si="15"/>
        <v>2</v>
      </c>
      <c r="B91" s="169" t="s">
        <v>453</v>
      </c>
      <c r="H91" s="115">
        <v>0</v>
      </c>
      <c r="I91" s="115">
        <v>0</v>
      </c>
      <c r="J91" s="119">
        <v>0</v>
      </c>
      <c r="K91" s="119">
        <v>0</v>
      </c>
      <c r="L91" s="119"/>
    </row>
    <row r="92" spans="1:15" x14ac:dyDescent="0.25">
      <c r="A92" s="119">
        <f t="shared" ca="1" si="15"/>
        <v>2</v>
      </c>
      <c r="B92" s="169" t="s">
        <v>458</v>
      </c>
      <c r="H92" s="115">
        <v>0</v>
      </c>
      <c r="I92" s="115">
        <v>0</v>
      </c>
      <c r="J92" s="119">
        <v>0</v>
      </c>
      <c r="K92" s="119">
        <v>0</v>
      </c>
      <c r="L92" s="119"/>
    </row>
    <row r="93" spans="1:15" x14ac:dyDescent="0.25">
      <c r="A93" s="119">
        <f t="shared" ca="1" si="15"/>
        <v>2</v>
      </c>
      <c r="B93" s="169" t="s">
        <v>452</v>
      </c>
      <c r="C93" s="115">
        <f>'Cash Flow (Y)'!C64</f>
        <v>16.799999999999272</v>
      </c>
      <c r="D93" s="115">
        <f>'Cash Flow (Y)'!D64</f>
        <v>5.7999999999992724</v>
      </c>
      <c r="E93" s="115">
        <f>'Cash Flow (Y)'!E64</f>
        <v>-5.2000000000007276</v>
      </c>
      <c r="F93" s="115">
        <f>'Cash Flow (Y)'!F64</f>
        <v>-16.200000000000728</v>
      </c>
      <c r="G93" s="115">
        <f>'Cash Flow (Y)'!G64</f>
        <v>-27.200000000000728</v>
      </c>
      <c r="H93" s="115">
        <f>'Cash Flow (Y)'!H64</f>
        <v>-29</v>
      </c>
      <c r="I93" s="115">
        <f>'Cash Flow (Y)'!I64</f>
        <v>-65</v>
      </c>
      <c r="J93" s="115">
        <f>'Cash Flow (Y)'!J64</f>
        <v>-49</v>
      </c>
      <c r="K93" s="115">
        <f>'Cash Flow (Y)'!K64</f>
        <v>-83</v>
      </c>
      <c r="L93" s="119"/>
    </row>
    <row r="94" spans="1:15" x14ac:dyDescent="0.25">
      <c r="A94" s="119">
        <f t="shared" ca="1" si="15"/>
        <v>2</v>
      </c>
      <c r="B94" s="169" t="s">
        <v>459</v>
      </c>
      <c r="H94" s="115">
        <v>0</v>
      </c>
      <c r="I94" s="115">
        <v>0</v>
      </c>
      <c r="J94" s="119">
        <v>0</v>
      </c>
      <c r="K94" s="119">
        <v>0</v>
      </c>
      <c r="L94" s="119"/>
    </row>
    <row r="95" spans="1:15" x14ac:dyDescent="0.25">
      <c r="A95" s="119">
        <f t="shared" ca="1" si="15"/>
        <v>3</v>
      </c>
      <c r="B95" s="143" t="s">
        <v>469</v>
      </c>
      <c r="H95" s="6"/>
      <c r="I95" s="6"/>
      <c r="L95" s="119"/>
    </row>
    <row r="96" spans="1:15" x14ac:dyDescent="0.25">
      <c r="A96" s="119">
        <f t="shared" ca="1" si="15"/>
        <v>3</v>
      </c>
      <c r="B96" s="143" t="s">
        <v>471</v>
      </c>
      <c r="H96" s="6"/>
      <c r="I96" s="6"/>
      <c r="L96" s="119"/>
    </row>
    <row r="97" spans="1:14" x14ac:dyDescent="0.25">
      <c r="A97" s="119">
        <f t="shared" ca="1" si="15"/>
        <v>2</v>
      </c>
      <c r="B97" s="169" t="s">
        <v>464</v>
      </c>
      <c r="C97" s="100">
        <f t="shared" ref="C97:G97" si="29">$L97</f>
        <v>0</v>
      </c>
      <c r="D97" s="100">
        <f t="shared" si="29"/>
        <v>0</v>
      </c>
      <c r="E97" s="100">
        <f t="shared" si="29"/>
        <v>0</v>
      </c>
      <c r="F97" s="100">
        <f t="shared" si="29"/>
        <v>0</v>
      </c>
      <c r="G97" s="100">
        <f t="shared" si="29"/>
        <v>0</v>
      </c>
      <c r="H97" s="115">
        <v>600</v>
      </c>
      <c r="I97" s="115">
        <v>-25</v>
      </c>
      <c r="J97" s="119">
        <v>-7</v>
      </c>
      <c r="K97" s="119">
        <v>0</v>
      </c>
      <c r="L97" s="119">
        <v>0</v>
      </c>
      <c r="N97" s="4" t="s">
        <v>1037</v>
      </c>
    </row>
    <row r="98" spans="1:14" x14ac:dyDescent="0.25">
      <c r="A98" s="119">
        <f t="shared" ca="1" si="15"/>
        <v>2</v>
      </c>
      <c r="B98" s="169" t="s">
        <v>460</v>
      </c>
      <c r="C98" s="100">
        <f t="shared" ref="C98:G98" si="30">$L98</f>
        <v>3.25</v>
      </c>
      <c r="D98" s="100">
        <f t="shared" si="30"/>
        <v>3.25</v>
      </c>
      <c r="E98" s="100">
        <f t="shared" si="30"/>
        <v>3.25</v>
      </c>
      <c r="F98" s="100">
        <f t="shared" si="30"/>
        <v>3.25</v>
      </c>
      <c r="G98" s="100">
        <f t="shared" si="30"/>
        <v>3.25</v>
      </c>
      <c r="H98" s="115">
        <v>20</v>
      </c>
      <c r="I98" s="115">
        <v>0</v>
      </c>
      <c r="J98" s="119">
        <v>0</v>
      </c>
      <c r="K98" s="119">
        <v>-7</v>
      </c>
      <c r="L98" s="264">
        <f>AVERAGE(H98:K98)</f>
        <v>3.25</v>
      </c>
      <c r="N98" s="4" t="s">
        <v>1011</v>
      </c>
    </row>
    <row r="101" spans="1:14" s="154" customFormat="1" x14ac:dyDescent="0.25">
      <c r="A101" s="159"/>
      <c r="H101" s="159"/>
      <c r="I101" s="159"/>
      <c r="J101" s="159"/>
      <c r="K101" s="159"/>
    </row>
    <row r="102" spans="1:14" s="154" customFormat="1" x14ac:dyDescent="0.25">
      <c r="A102" s="159"/>
      <c r="H102" s="276"/>
      <c r="I102" s="159"/>
      <c r="J102" s="159"/>
      <c r="K102" s="159"/>
    </row>
    <row r="103" spans="1:14" s="154" customFormat="1" x14ac:dyDescent="0.25">
      <c r="A103" s="159"/>
      <c r="H103" s="159"/>
      <c r="I103" s="159"/>
      <c r="J103" s="159"/>
      <c r="K103" s="159"/>
    </row>
    <row r="104" spans="1:14" s="154" customFormat="1" x14ac:dyDescent="0.25">
      <c r="A104" s="159"/>
      <c r="H104" s="159"/>
      <c r="I104" s="154" t="s">
        <v>1085</v>
      </c>
      <c r="J104" s="159"/>
      <c r="K104" s="159"/>
    </row>
    <row r="105" spans="1:14" s="154" customFormat="1" x14ac:dyDescent="0.25">
      <c r="A105" s="159"/>
      <c r="H105" s="159"/>
      <c r="I105" s="159"/>
      <c r="J105" s="159"/>
      <c r="K105" s="159"/>
    </row>
    <row r="106" spans="1:14" s="154" customFormat="1" x14ac:dyDescent="0.25">
      <c r="A106" s="159"/>
    </row>
  </sheetData>
  <printOptions headings="1"/>
  <pageMargins left="0.7" right="0.7" top="0.75" bottom="0.75" header="0.3" footer="0.3"/>
  <pageSetup pageOrder="overThenDown" orientation="portrait" r:id="rId1"/>
  <headerFooter>
    <oddHeader>&amp;R</oddHeader>
    <oddFooter>&amp;R</oddFooter>
    <evenHeader>&amp;R</evenHeader>
    <evenFooter>&amp;R</even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E4B36-2550-4D88-9DEE-1630D38E32C9}">
  <sheetPr codeName="Sheet4">
    <tabColor theme="8" tint="0.39997558519241921"/>
  </sheetPr>
  <dimension ref="B1:AD196"/>
  <sheetViews>
    <sheetView zoomScale="90" zoomScaleNormal="90" workbookViewId="0">
      <pane ySplit="1" topLeftCell="A2" activePane="bottomLeft" state="frozen"/>
      <selection pane="bottomLeft" activeCell="A2" sqref="A2"/>
    </sheetView>
  </sheetViews>
  <sheetFormatPr defaultRowHeight="15" x14ac:dyDescent="0.25"/>
  <cols>
    <col min="2" max="2" width="37.140625" bestFit="1" customWidth="1"/>
  </cols>
  <sheetData>
    <row r="1" spans="2:20" x14ac:dyDescent="0.25">
      <c r="B1" t="s">
        <v>282</v>
      </c>
      <c r="C1" s="209">
        <v>2022</v>
      </c>
      <c r="D1" s="209">
        <v>2021</v>
      </c>
      <c r="E1" s="209">
        <v>2020</v>
      </c>
      <c r="F1" s="209">
        <v>2019</v>
      </c>
      <c r="G1" s="209">
        <v>2018</v>
      </c>
      <c r="H1" s="209">
        <v>2017</v>
      </c>
      <c r="I1" s="209">
        <v>2016</v>
      </c>
      <c r="J1" s="209">
        <v>2015</v>
      </c>
      <c r="K1" s="209">
        <v>2014</v>
      </c>
      <c r="L1" s="209">
        <v>2013</v>
      </c>
      <c r="N1" t="s">
        <v>1152</v>
      </c>
    </row>
    <row r="2" spans="2:20" x14ac:dyDescent="0.25">
      <c r="B2" s="10" t="s">
        <v>296</v>
      </c>
      <c r="C2" s="216">
        <f t="shared" ref="C2:G2" si="0">SUBTOTAL(9,C3:C12)</f>
        <v>21893.199999999852</v>
      </c>
      <c r="D2" s="216">
        <f t="shared" si="0"/>
        <v>21438.999999999651</v>
      </c>
      <c r="E2" s="216">
        <f t="shared" si="0"/>
        <v>20984.799999999988</v>
      </c>
      <c r="F2" s="216">
        <f t="shared" si="0"/>
        <v>20530.599999999788</v>
      </c>
      <c r="G2" s="216">
        <f t="shared" si="0"/>
        <v>20076.39999999982</v>
      </c>
      <c r="H2" s="178">
        <f>SUBTOTAL(9,H3:H12)</f>
        <v>20428</v>
      </c>
      <c r="I2" s="178">
        <f t="shared" ref="I2:L2" si="1">SUBTOTAL(9,I3:I12)</f>
        <v>17509</v>
      </c>
      <c r="J2" s="178">
        <f t="shared" si="1"/>
        <v>19110</v>
      </c>
      <c r="K2" s="178">
        <f t="shared" si="1"/>
        <v>19221</v>
      </c>
      <c r="L2" s="178">
        <f t="shared" si="1"/>
        <v>17301</v>
      </c>
      <c r="M2" s="178"/>
      <c r="N2" s="216">
        <f>G2-H2</f>
        <v>-351.60000000018044</v>
      </c>
      <c r="O2" s="281"/>
      <c r="S2" t="s">
        <v>1379</v>
      </c>
      <c r="T2" t="s">
        <v>1380</v>
      </c>
    </row>
    <row r="3" spans="2:20" x14ac:dyDescent="0.25">
      <c r="B3" s="9" t="s">
        <v>225</v>
      </c>
      <c r="C3" s="216">
        <f t="shared" ref="C3:G3" si="2">C71</f>
        <v>5585.800000000032</v>
      </c>
      <c r="D3" s="216">
        <f t="shared" si="2"/>
        <v>6113.5999999998894</v>
      </c>
      <c r="E3" s="216">
        <f t="shared" si="2"/>
        <v>6641.3999999999942</v>
      </c>
      <c r="F3" s="216">
        <f t="shared" si="2"/>
        <v>7169.1999999998516</v>
      </c>
      <c r="G3" s="216">
        <f t="shared" si="2"/>
        <v>7696.9999999999418</v>
      </c>
      <c r="H3" s="178">
        <f>H71</f>
        <v>8953</v>
      </c>
      <c r="I3" s="178">
        <f>I71</f>
        <v>7804</v>
      </c>
      <c r="J3" s="178">
        <f>J71</f>
        <v>8670</v>
      </c>
      <c r="K3" s="178">
        <f>K71</f>
        <v>10962</v>
      </c>
      <c r="L3" s="178">
        <f>L71</f>
        <v>10013</v>
      </c>
      <c r="Q3" s="3">
        <f>(C3+C8)/$C$2</f>
        <v>0.13969177644200334</v>
      </c>
      <c r="S3" s="3">
        <f>CORREL($H$2:$L$2,H3:L3)</f>
        <v>0.1239906878653223</v>
      </c>
      <c r="T3" s="3">
        <f>RSQ($H$2:$L$2,H3:L3)</f>
        <v>1.5373690677315777E-2</v>
      </c>
    </row>
    <row r="4" spans="2:20" x14ac:dyDescent="0.25">
      <c r="B4" s="9" t="s">
        <v>263</v>
      </c>
      <c r="C4" s="216">
        <f t="shared" ref="C4:L4" si="3">R71</f>
        <v>11015.699999999861</v>
      </c>
      <c r="D4" s="216">
        <f t="shared" si="3"/>
        <v>10253.199999999813</v>
      </c>
      <c r="E4" s="216">
        <f t="shared" si="3"/>
        <v>9490.7000000000007</v>
      </c>
      <c r="F4" s="216">
        <f t="shared" si="3"/>
        <v>8728.1999999999534</v>
      </c>
      <c r="G4" s="216">
        <f t="shared" si="3"/>
        <v>7965.699999999907</v>
      </c>
      <c r="H4" s="178">
        <f t="shared" si="3"/>
        <v>7058</v>
      </c>
      <c r="I4" s="178">
        <f t="shared" si="3"/>
        <v>6181</v>
      </c>
      <c r="J4" s="178">
        <f t="shared" si="3"/>
        <v>6229</v>
      </c>
      <c r="K4" s="178">
        <f t="shared" si="3"/>
        <v>5174</v>
      </c>
      <c r="L4" s="178">
        <f t="shared" si="3"/>
        <v>3749</v>
      </c>
      <c r="Q4" s="3">
        <f t="shared" ref="Q4:Q6" si="4">(C4+C9)/$C$2</f>
        <v>0.50191840388796227</v>
      </c>
      <c r="S4" s="3">
        <f t="shared" ref="S4:S6" si="5">CORREL($H$2:$L$2,H4:L4)</f>
        <v>0.67227659906303006</v>
      </c>
      <c r="T4" s="3">
        <f t="shared" ref="T4:T6" si="6">RSQ($H$2:$L$2,H4:L4)</f>
        <v>0.45195582564775405</v>
      </c>
    </row>
    <row r="5" spans="2:20" x14ac:dyDescent="0.25">
      <c r="B5" s="9" t="s">
        <v>218</v>
      </c>
      <c r="C5" s="216">
        <f t="shared" ref="C5:G5" si="7">C92</f>
        <v>7039.7999999999593</v>
      </c>
      <c r="D5" s="216">
        <f t="shared" si="7"/>
        <v>6758.5999999999476</v>
      </c>
      <c r="E5" s="216">
        <f t="shared" si="7"/>
        <v>6477.3999999999942</v>
      </c>
      <c r="F5" s="216">
        <f t="shared" si="7"/>
        <v>6196.1999999999825</v>
      </c>
      <c r="G5" s="216">
        <f t="shared" si="7"/>
        <v>5914.9999999999709</v>
      </c>
      <c r="H5" s="178">
        <f>H92</f>
        <v>5889</v>
      </c>
      <c r="I5" s="178">
        <v>4836</v>
      </c>
      <c r="J5" s="178">
        <v>4836</v>
      </c>
      <c r="K5" s="178">
        <v>4836</v>
      </c>
      <c r="L5" s="178">
        <v>4836</v>
      </c>
      <c r="Q5" s="3">
        <f t="shared" si="4"/>
        <v>0.23823378948714619</v>
      </c>
      <c r="S5" s="3">
        <f t="shared" si="5"/>
        <v>0.73494341737612168</v>
      </c>
      <c r="T5" s="3">
        <f t="shared" si="6"/>
        <v>0.54014182674449218</v>
      </c>
    </row>
    <row r="6" spans="2:20" x14ac:dyDescent="0.25">
      <c r="B6" s="9" t="s">
        <v>250</v>
      </c>
      <c r="C6" s="216">
        <f t="shared" ref="C6:L6" si="8">R92</f>
        <v>5386.2999999999447</v>
      </c>
      <c r="D6" s="216">
        <f t="shared" si="8"/>
        <v>5118.7999999999302</v>
      </c>
      <c r="E6" s="216">
        <f t="shared" si="8"/>
        <v>4851.2999999999884</v>
      </c>
      <c r="F6" s="216">
        <f t="shared" si="8"/>
        <v>4583.7999999999738</v>
      </c>
      <c r="G6" s="216">
        <f t="shared" si="8"/>
        <v>4316.2999999999593</v>
      </c>
      <c r="H6" s="178">
        <f t="shared" si="8"/>
        <v>4058</v>
      </c>
      <c r="I6" s="178">
        <f t="shared" si="8"/>
        <v>3517</v>
      </c>
      <c r="J6" s="178">
        <f t="shared" si="8"/>
        <v>4067</v>
      </c>
      <c r="K6" s="178">
        <f t="shared" si="8"/>
        <v>2896</v>
      </c>
      <c r="L6" s="178">
        <f t="shared" si="8"/>
        <v>3031</v>
      </c>
      <c r="Q6" s="3">
        <f t="shared" si="4"/>
        <v>0.12015603018288826</v>
      </c>
      <c r="S6" s="3">
        <f t="shared" si="5"/>
        <v>0.52731115732702494</v>
      </c>
      <c r="T6" s="3">
        <f t="shared" si="6"/>
        <v>0.27805705664156632</v>
      </c>
    </row>
    <row r="7" spans="2:20" x14ac:dyDescent="0.25">
      <c r="B7" s="9" t="s">
        <v>11</v>
      </c>
      <c r="C7" s="216">
        <f t="shared" ref="C7:G7" si="9">SUBTOTAL(9,C8:C11)</f>
        <v>-7134.3999999999451</v>
      </c>
      <c r="D7" s="216">
        <f t="shared" si="9"/>
        <v>-6805.1999999999298</v>
      </c>
      <c r="E7" s="216">
        <f t="shared" si="9"/>
        <v>-6475.9999999999882</v>
      </c>
      <c r="F7" s="216">
        <f t="shared" si="9"/>
        <v>-6146.7999999999738</v>
      </c>
      <c r="G7" s="216">
        <f t="shared" si="9"/>
        <v>-5817.5999999999594</v>
      </c>
      <c r="H7" s="178">
        <f>SUBTOTAL(9,H8:H11)</f>
        <v>-5530</v>
      </c>
      <c r="I7" s="178">
        <f>SUBTOTAL(9,I8:I11)</f>
        <v>-4829</v>
      </c>
      <c r="J7" s="178">
        <f>SUBTOTAL(9,J8:J11)</f>
        <v>-5028</v>
      </c>
      <c r="K7" s="178">
        <f>SUBTOTAL(9,K8:K11)</f>
        <v>-4929</v>
      </c>
      <c r="L7" s="178">
        <f>SUBTOTAL(9,L8:L11)</f>
        <v>-3834</v>
      </c>
      <c r="Q7" s="3"/>
    </row>
    <row r="8" spans="2:20" x14ac:dyDescent="0.25">
      <c r="B8" s="179" t="s">
        <v>211</v>
      </c>
      <c r="C8" s="216">
        <f t="shared" ref="C8:G8" si="10">-C70</f>
        <v>-2527.4999999999854</v>
      </c>
      <c r="D8" s="216">
        <f t="shared" si="10"/>
        <v>-2467.1999999999825</v>
      </c>
      <c r="E8" s="216">
        <f t="shared" si="10"/>
        <v>-2406.8999999999942</v>
      </c>
      <c r="F8" s="216">
        <f t="shared" si="10"/>
        <v>-2346.5999999999913</v>
      </c>
      <c r="G8" s="216">
        <f t="shared" si="10"/>
        <v>-2286.2999999999884</v>
      </c>
      <c r="H8" s="178">
        <f>-H70</f>
        <v>-2292</v>
      </c>
      <c r="I8" s="178">
        <f>-I70</f>
        <v>-2030</v>
      </c>
      <c r="J8" s="178">
        <f>-J70</f>
        <v>-1937</v>
      </c>
      <c r="K8" s="178">
        <f>-K70</f>
        <v>-2525</v>
      </c>
      <c r="L8" s="178">
        <f>-L70</f>
        <v>-1743</v>
      </c>
    </row>
    <row r="9" spans="2:20" x14ac:dyDescent="0.25">
      <c r="B9" s="179" t="s">
        <v>214</v>
      </c>
      <c r="C9" s="216">
        <f t="shared" ref="C9:L9" si="11">-R70</f>
        <v>-27.100000000000023</v>
      </c>
      <c r="D9" s="216">
        <f t="shared" si="11"/>
        <v>-27.400000000000091</v>
      </c>
      <c r="E9" s="216">
        <f t="shared" si="11"/>
        <v>-27.700000000000045</v>
      </c>
      <c r="F9" s="216">
        <f t="shared" si="11"/>
        <v>-28.000000000000114</v>
      </c>
      <c r="G9" s="216">
        <f t="shared" si="11"/>
        <v>-28.300000000000068</v>
      </c>
      <c r="H9" s="178">
        <f t="shared" si="11"/>
        <v>-29</v>
      </c>
      <c r="I9" s="178">
        <f t="shared" si="11"/>
        <v>-24</v>
      </c>
      <c r="J9" s="178">
        <f t="shared" si="11"/>
        <v>-31</v>
      </c>
      <c r="K9" s="178">
        <f t="shared" si="11"/>
        <v>-39</v>
      </c>
      <c r="L9" s="178">
        <f t="shared" si="11"/>
        <v>-23</v>
      </c>
      <c r="Q9" t="s">
        <v>1291</v>
      </c>
    </row>
    <row r="10" spans="2:20" x14ac:dyDescent="0.25">
      <c r="B10" s="179" t="s">
        <v>220</v>
      </c>
      <c r="C10" s="216">
        <f t="shared" ref="C10:G10" si="12">-C91</f>
        <v>-1824.1000000000058</v>
      </c>
      <c r="D10" s="216">
        <f t="shared" si="12"/>
        <v>-1757.6000000000058</v>
      </c>
      <c r="E10" s="216">
        <f t="shared" si="12"/>
        <v>-1691.1000000000058</v>
      </c>
      <c r="F10" s="216">
        <f t="shared" si="12"/>
        <v>-1624.6000000000058</v>
      </c>
      <c r="G10" s="216">
        <f t="shared" si="12"/>
        <v>-1558.1000000000058</v>
      </c>
      <c r="H10" s="178">
        <f>-H91</f>
        <v>-1526</v>
      </c>
      <c r="I10" s="178">
        <f>-I91</f>
        <v>-1322</v>
      </c>
      <c r="J10" s="178">
        <f>-J91</f>
        <v>-1427</v>
      </c>
      <c r="K10" s="178">
        <f>-K91</f>
        <v>-1327</v>
      </c>
      <c r="L10" s="178">
        <f>-L91</f>
        <v>-1191</v>
      </c>
    </row>
    <row r="11" spans="2:20" x14ac:dyDescent="0.25">
      <c r="B11" s="179" t="s">
        <v>222</v>
      </c>
      <c r="C11" s="216">
        <f t="shared" ref="C11:L11" si="13">-R91</f>
        <v>-2755.6999999999534</v>
      </c>
      <c r="D11" s="216">
        <f t="shared" si="13"/>
        <v>-2552.9999999999418</v>
      </c>
      <c r="E11" s="216">
        <f t="shared" si="13"/>
        <v>-2350.2999999999884</v>
      </c>
      <c r="F11" s="216">
        <f t="shared" si="13"/>
        <v>-2147.5999999999767</v>
      </c>
      <c r="G11" s="216">
        <f t="shared" si="13"/>
        <v>-1944.8999999999651</v>
      </c>
      <c r="H11" s="178">
        <f t="shared" si="13"/>
        <v>-1683</v>
      </c>
      <c r="I11" s="178">
        <f t="shared" si="13"/>
        <v>-1453</v>
      </c>
      <c r="J11" s="178">
        <f t="shared" si="13"/>
        <v>-1633</v>
      </c>
      <c r="K11" s="178">
        <f t="shared" si="13"/>
        <v>-1038</v>
      </c>
      <c r="L11" s="178">
        <f t="shared" si="13"/>
        <v>-877</v>
      </c>
    </row>
    <row r="12" spans="2:20" x14ac:dyDescent="0.25">
      <c r="B12" s="9" t="s">
        <v>940</v>
      </c>
      <c r="C12" s="216">
        <f t="shared" ref="C12:G12" si="14">C116</f>
        <v>0</v>
      </c>
      <c r="D12" s="216">
        <f t="shared" si="14"/>
        <v>0</v>
      </c>
      <c r="E12" s="216">
        <f t="shared" si="14"/>
        <v>0</v>
      </c>
      <c r="F12" s="216">
        <f t="shared" si="14"/>
        <v>0</v>
      </c>
      <c r="G12" s="216">
        <f t="shared" si="14"/>
        <v>0</v>
      </c>
      <c r="H12" s="178">
        <f>H116</f>
        <v>0</v>
      </c>
      <c r="I12" s="178">
        <f>I116</f>
        <v>0</v>
      </c>
      <c r="J12" s="178">
        <f>J116</f>
        <v>336</v>
      </c>
      <c r="K12" s="178">
        <f>K116</f>
        <v>282</v>
      </c>
      <c r="L12" s="178">
        <f>L116</f>
        <v>-494</v>
      </c>
    </row>
    <row r="13" spans="2:20" x14ac:dyDescent="0.25">
      <c r="B13" t="s">
        <v>291</v>
      </c>
      <c r="C13" s="216">
        <f t="shared" ref="C13:G13" si="15">SUBTOTAL(9,C14:C17)</f>
        <v>690.00000000000273</v>
      </c>
      <c r="D13" s="216">
        <f t="shared" si="15"/>
        <v>693.99999999998545</v>
      </c>
      <c r="E13" s="216">
        <f t="shared" si="15"/>
        <v>697.99999999999636</v>
      </c>
      <c r="F13" s="216">
        <f t="shared" si="15"/>
        <v>701.99999999997908</v>
      </c>
      <c r="G13" s="216">
        <f t="shared" si="15"/>
        <v>705.99999999999091</v>
      </c>
      <c r="H13" s="178">
        <f>SUBTOTAL(9,H14:H17)</f>
        <v>752</v>
      </c>
      <c r="I13" s="178">
        <f t="shared" ref="I13" si="16">SUBTOTAL(9,I14:I17)</f>
        <v>636</v>
      </c>
      <c r="J13" s="178">
        <f t="shared" ref="J13" si="17">SUBTOTAL(9,J14:J17)</f>
        <v>735</v>
      </c>
      <c r="K13" s="178">
        <f t="shared" ref="K13" si="18">SUBTOTAL(9,K14:K17)</f>
        <v>754</v>
      </c>
      <c r="L13" s="178">
        <f t="shared" ref="L13" si="19">SUBTOTAL(9,L14:L17)</f>
        <v>713</v>
      </c>
      <c r="N13" s="216">
        <f>G13-H13</f>
        <v>-46.000000000009095</v>
      </c>
    </row>
    <row r="14" spans="2:20" x14ac:dyDescent="0.25">
      <c r="B14" s="9" t="s">
        <v>225</v>
      </c>
      <c r="C14" s="216">
        <f t="shared" ref="C14:G14" si="20">C73</f>
        <v>-15.80000000000291</v>
      </c>
      <c r="D14" s="216">
        <f t="shared" si="20"/>
        <v>32.799999999988358</v>
      </c>
      <c r="E14" s="216">
        <f t="shared" si="20"/>
        <v>81.399999999994179</v>
      </c>
      <c r="F14" s="216">
        <f t="shared" si="20"/>
        <v>129.99999999998545</v>
      </c>
      <c r="G14" s="216">
        <f t="shared" si="20"/>
        <v>178.59999999999127</v>
      </c>
      <c r="H14" s="178">
        <f>H73</f>
        <v>279</v>
      </c>
      <c r="I14" s="178">
        <f>I73</f>
        <v>226</v>
      </c>
      <c r="J14" s="178">
        <f>J73</f>
        <v>263</v>
      </c>
      <c r="K14" s="178">
        <f>K73</f>
        <v>438</v>
      </c>
      <c r="L14" s="178">
        <f>L73</f>
        <v>416</v>
      </c>
    </row>
    <row r="15" spans="2:20" x14ac:dyDescent="0.25">
      <c r="B15" s="9" t="s">
        <v>263</v>
      </c>
      <c r="C15" s="216">
        <f t="shared" ref="C15:L15" si="21">R73</f>
        <v>32.399999999999636</v>
      </c>
      <c r="D15" s="216">
        <f t="shared" si="21"/>
        <v>29.399999999999636</v>
      </c>
      <c r="E15" s="216">
        <f t="shared" si="21"/>
        <v>26.399999999999636</v>
      </c>
      <c r="F15" s="216">
        <f t="shared" si="21"/>
        <v>23.399999999999636</v>
      </c>
      <c r="G15" s="216">
        <f t="shared" si="21"/>
        <v>20.399999999999636</v>
      </c>
      <c r="H15" s="178">
        <f t="shared" si="21"/>
        <v>19</v>
      </c>
      <c r="I15" s="178">
        <f t="shared" si="21"/>
        <v>13</v>
      </c>
      <c r="J15" s="178">
        <f t="shared" si="21"/>
        <v>10</v>
      </c>
      <c r="K15" s="178">
        <f t="shared" si="21"/>
        <v>9</v>
      </c>
      <c r="L15" s="178">
        <f t="shared" si="21"/>
        <v>6</v>
      </c>
    </row>
    <row r="16" spans="2:20" x14ac:dyDescent="0.25">
      <c r="B16" s="9" t="s">
        <v>218</v>
      </c>
      <c r="C16" s="216">
        <f t="shared" ref="C16:G16" si="22">C94</f>
        <v>241.80000000000018</v>
      </c>
      <c r="D16" s="216">
        <f t="shared" si="22"/>
        <v>239.60000000000036</v>
      </c>
      <c r="E16" s="216">
        <f t="shared" si="22"/>
        <v>237.39999999999964</v>
      </c>
      <c r="F16" s="216">
        <f t="shared" si="22"/>
        <v>235.19999999999982</v>
      </c>
      <c r="G16" s="216">
        <f t="shared" si="22"/>
        <v>233</v>
      </c>
      <c r="H16" s="178">
        <f>H94</f>
        <v>240</v>
      </c>
      <c r="I16" s="178">
        <f>I94</f>
        <v>208</v>
      </c>
      <c r="J16" s="178">
        <f>J94</f>
        <v>236</v>
      </c>
      <c r="K16" s="178">
        <f>K94</f>
        <v>230</v>
      </c>
      <c r="L16" s="178">
        <f>L94</f>
        <v>218</v>
      </c>
    </row>
    <row r="17" spans="2:14" x14ac:dyDescent="0.25">
      <c r="B17" s="9" t="s">
        <v>250</v>
      </c>
      <c r="C17" s="216">
        <f t="shared" ref="C17:L17" si="23">R94</f>
        <v>431.60000000000582</v>
      </c>
      <c r="D17" s="216">
        <f t="shared" si="23"/>
        <v>392.19999999999709</v>
      </c>
      <c r="E17" s="216">
        <f t="shared" si="23"/>
        <v>352.80000000000291</v>
      </c>
      <c r="F17" s="216">
        <f t="shared" si="23"/>
        <v>313.39999999999418</v>
      </c>
      <c r="G17" s="216">
        <f t="shared" si="23"/>
        <v>274</v>
      </c>
      <c r="H17" s="178">
        <f t="shared" si="23"/>
        <v>214</v>
      </c>
      <c r="I17" s="178">
        <f t="shared" si="23"/>
        <v>189</v>
      </c>
      <c r="J17" s="178">
        <f t="shared" si="23"/>
        <v>226</v>
      </c>
      <c r="K17" s="178">
        <f t="shared" si="23"/>
        <v>77</v>
      </c>
      <c r="L17" s="178">
        <f t="shared" si="23"/>
        <v>73</v>
      </c>
    </row>
    <row r="18" spans="2:14" x14ac:dyDescent="0.25">
      <c r="B18" t="s">
        <v>292</v>
      </c>
      <c r="C18" s="216">
        <f t="shared" ref="C18:G18" si="24">SUBTOTAL(9,C19:C22)</f>
        <v>286.89999999999873</v>
      </c>
      <c r="D18" s="216">
        <f t="shared" si="24"/>
        <v>294.59999999999491</v>
      </c>
      <c r="E18" s="216">
        <f t="shared" si="24"/>
        <v>302.29999999999745</v>
      </c>
      <c r="F18" s="216">
        <f t="shared" si="24"/>
        <v>309.99999999999363</v>
      </c>
      <c r="G18" s="216">
        <f t="shared" si="24"/>
        <v>317.69999999999618</v>
      </c>
      <c r="H18" s="178">
        <f>SUBTOTAL(9,H19:H22)</f>
        <v>357</v>
      </c>
      <c r="I18" s="178">
        <f t="shared" ref="I18" si="25">SUBTOTAL(9,I19:I22)</f>
        <v>301</v>
      </c>
      <c r="J18" s="178">
        <f t="shared" ref="J18" si="26">SUBTOTAL(9,J19:J22)</f>
        <v>315</v>
      </c>
      <c r="K18" s="178">
        <f t="shared" ref="K18" si="27">SUBTOTAL(9,K19:K22)</f>
        <v>370</v>
      </c>
      <c r="L18" s="178">
        <f t="shared" ref="L18" si="28">SUBTOTAL(9,L19:L22)</f>
        <v>361</v>
      </c>
      <c r="N18" s="216">
        <f>G18-H18</f>
        <v>-39.30000000000382</v>
      </c>
    </row>
    <row r="19" spans="2:14" x14ac:dyDescent="0.25">
      <c r="B19" s="9" t="s">
        <v>225</v>
      </c>
      <c r="C19" s="216">
        <f t="shared" ref="C19:G19" si="29">C74</f>
        <v>276.09999999999854</v>
      </c>
      <c r="D19" s="216">
        <f t="shared" si="29"/>
        <v>259.39999999999418</v>
      </c>
      <c r="E19" s="216">
        <f t="shared" si="29"/>
        <v>242.69999999999709</v>
      </c>
      <c r="F19" s="216">
        <f t="shared" si="29"/>
        <v>225.99999999999272</v>
      </c>
      <c r="G19" s="216">
        <f t="shared" si="29"/>
        <v>209.29999999999563</v>
      </c>
      <c r="H19" s="178">
        <f>H74</f>
        <v>219</v>
      </c>
      <c r="I19" s="178">
        <f>I74</f>
        <v>148</v>
      </c>
      <c r="J19" s="178">
        <f>J74</f>
        <v>146</v>
      </c>
      <c r="K19" s="178">
        <f>K74</f>
        <v>147</v>
      </c>
      <c r="L19" s="178">
        <f>L74</f>
        <v>136</v>
      </c>
    </row>
    <row r="20" spans="2:14" x14ac:dyDescent="0.25">
      <c r="B20" s="9" t="s">
        <v>263</v>
      </c>
      <c r="C20" s="216">
        <f t="shared" ref="C20:L20" si="30">R74</f>
        <v>-123</v>
      </c>
      <c r="D20" s="216">
        <f t="shared" si="30"/>
        <v>-91</v>
      </c>
      <c r="E20" s="216">
        <f t="shared" si="30"/>
        <v>-59</v>
      </c>
      <c r="F20" s="216">
        <f t="shared" si="30"/>
        <v>-27</v>
      </c>
      <c r="G20" s="216">
        <f t="shared" si="30"/>
        <v>5</v>
      </c>
      <c r="H20" s="178">
        <f t="shared" si="30"/>
        <v>44</v>
      </c>
      <c r="I20" s="178">
        <f t="shared" si="30"/>
        <v>70</v>
      </c>
      <c r="J20" s="178">
        <f t="shared" si="30"/>
        <v>78</v>
      </c>
      <c r="K20" s="178">
        <f t="shared" si="30"/>
        <v>148</v>
      </c>
      <c r="L20" s="178">
        <f t="shared" si="30"/>
        <v>165</v>
      </c>
    </row>
    <row r="21" spans="2:14" x14ac:dyDescent="0.25">
      <c r="B21" s="9" t="s">
        <v>218</v>
      </c>
      <c r="C21" s="216">
        <f t="shared" ref="C21:G21" si="31">C95</f>
        <v>56.300000000000182</v>
      </c>
      <c r="D21" s="216">
        <f t="shared" si="31"/>
        <v>53.399999999999636</v>
      </c>
      <c r="E21" s="216">
        <f t="shared" si="31"/>
        <v>50.5</v>
      </c>
      <c r="F21" s="216">
        <f t="shared" si="31"/>
        <v>47.599999999999454</v>
      </c>
      <c r="G21" s="216">
        <f t="shared" si="31"/>
        <v>44.699999999999818</v>
      </c>
      <c r="H21" s="178">
        <f>H95</f>
        <v>40</v>
      </c>
      <c r="I21" s="178">
        <f>I95</f>
        <v>41</v>
      </c>
      <c r="J21" s="178">
        <f>J95</f>
        <v>35</v>
      </c>
      <c r="K21" s="178">
        <f>K95</f>
        <v>36</v>
      </c>
      <c r="L21" s="178">
        <f>L95</f>
        <v>28</v>
      </c>
    </row>
    <row r="22" spans="2:14" x14ac:dyDescent="0.25">
      <c r="B22" s="9" t="s">
        <v>250</v>
      </c>
      <c r="C22" s="216">
        <f t="shared" ref="C22:L22" si="32">R95</f>
        <v>77.5</v>
      </c>
      <c r="D22" s="216">
        <f t="shared" si="32"/>
        <v>72.800000000001091</v>
      </c>
      <c r="E22" s="216">
        <f t="shared" si="32"/>
        <v>68.100000000000364</v>
      </c>
      <c r="F22" s="216">
        <f t="shared" si="32"/>
        <v>63.400000000001455</v>
      </c>
      <c r="G22" s="216">
        <f t="shared" si="32"/>
        <v>58.700000000000728</v>
      </c>
      <c r="H22" s="178">
        <f t="shared" si="32"/>
        <v>54</v>
      </c>
      <c r="I22" s="178">
        <f t="shared" si="32"/>
        <v>42</v>
      </c>
      <c r="J22" s="178">
        <f t="shared" si="32"/>
        <v>56</v>
      </c>
      <c r="K22" s="178">
        <f t="shared" si="32"/>
        <v>39</v>
      </c>
      <c r="L22" s="178">
        <f t="shared" si="32"/>
        <v>32</v>
      </c>
    </row>
    <row r="23" spans="2:14" x14ac:dyDescent="0.25">
      <c r="B23" t="s">
        <v>337</v>
      </c>
      <c r="C23" s="216">
        <f t="shared" ref="C23:G23" si="33">SUBTOTAL(9,C24:C27)</f>
        <v>0</v>
      </c>
      <c r="D23" s="216">
        <f t="shared" si="33"/>
        <v>0</v>
      </c>
      <c r="E23" s="216">
        <f t="shared" si="33"/>
        <v>0</v>
      </c>
      <c r="F23" s="216">
        <f t="shared" si="33"/>
        <v>0</v>
      </c>
      <c r="G23" s="216">
        <f t="shared" si="33"/>
        <v>0</v>
      </c>
      <c r="H23" s="178">
        <f>SUBTOTAL(9,H24:H27)</f>
        <v>5</v>
      </c>
      <c r="I23" s="178">
        <f t="shared" ref="I23:L23" si="34">SUBTOTAL(9,I24:I27)</f>
        <v>138</v>
      </c>
      <c r="J23" s="178">
        <f t="shared" si="34"/>
        <v>60</v>
      </c>
      <c r="K23" s="178">
        <f t="shared" si="34"/>
        <v>0</v>
      </c>
      <c r="L23" s="178">
        <f t="shared" si="34"/>
        <v>0</v>
      </c>
      <c r="N23" s="216">
        <f>G23-H23</f>
        <v>-5</v>
      </c>
    </row>
    <row r="24" spans="2:14" x14ac:dyDescent="0.25">
      <c r="B24" s="9" t="s">
        <v>225</v>
      </c>
      <c r="C24" s="216">
        <f t="shared" ref="C24:G24" si="35">C76</f>
        <v>0</v>
      </c>
      <c r="D24" s="216">
        <f t="shared" si="35"/>
        <v>0</v>
      </c>
      <c r="E24" s="216">
        <f t="shared" si="35"/>
        <v>0</v>
      </c>
      <c r="F24" s="216">
        <f t="shared" si="35"/>
        <v>0</v>
      </c>
      <c r="G24" s="216">
        <f t="shared" si="35"/>
        <v>0</v>
      </c>
      <c r="H24" s="178">
        <f>H76</f>
        <v>5</v>
      </c>
      <c r="I24" s="178">
        <f>I76</f>
        <v>138</v>
      </c>
      <c r="J24" s="178">
        <f>J76</f>
        <v>60</v>
      </c>
      <c r="K24" s="178">
        <f>K76</f>
        <v>0</v>
      </c>
      <c r="L24" s="178">
        <f>L76</f>
        <v>0</v>
      </c>
    </row>
    <row r="25" spans="2:14" x14ac:dyDescent="0.25">
      <c r="B25" s="9" t="s">
        <v>263</v>
      </c>
      <c r="C25" s="216"/>
      <c r="D25" s="216"/>
      <c r="E25" s="216"/>
      <c r="F25" s="216"/>
      <c r="G25" s="216"/>
      <c r="H25" s="178"/>
      <c r="I25" s="178"/>
      <c r="J25" s="178"/>
      <c r="K25" s="178"/>
      <c r="L25" s="178"/>
    </row>
    <row r="26" spans="2:14" x14ac:dyDescent="0.25">
      <c r="B26" s="9" t="s">
        <v>218</v>
      </c>
      <c r="C26" s="216"/>
      <c r="D26" s="216"/>
      <c r="E26" s="216"/>
      <c r="F26" s="216"/>
      <c r="G26" s="216"/>
      <c r="H26" s="178"/>
      <c r="I26" s="178"/>
      <c r="J26" s="178"/>
      <c r="K26" s="178"/>
      <c r="L26" s="178"/>
    </row>
    <row r="27" spans="2:14" x14ac:dyDescent="0.25">
      <c r="B27" s="9" t="s">
        <v>250</v>
      </c>
      <c r="C27" s="216"/>
      <c r="D27" s="216"/>
      <c r="E27" s="216"/>
      <c r="F27" s="216"/>
      <c r="G27" s="216"/>
      <c r="H27" s="178"/>
      <c r="I27" s="178"/>
      <c r="J27" s="178"/>
      <c r="K27" s="178"/>
      <c r="L27" s="178"/>
    </row>
    <row r="28" spans="2:14" x14ac:dyDescent="0.25">
      <c r="B28" t="s">
        <v>306</v>
      </c>
      <c r="C28" s="216">
        <f t="shared" ref="C28:G28" si="36">SUBTOTAL(9,C29:C32)</f>
        <v>0</v>
      </c>
      <c r="D28" s="216">
        <f t="shared" si="36"/>
        <v>0</v>
      </c>
      <c r="E28" s="216">
        <f t="shared" si="36"/>
        <v>0</v>
      </c>
      <c r="F28" s="216">
        <f t="shared" si="36"/>
        <v>0</v>
      </c>
      <c r="G28" s="216">
        <f t="shared" si="36"/>
        <v>0</v>
      </c>
      <c r="H28" s="178">
        <f>SUBTOTAL(9,H29:H32)</f>
        <v>0</v>
      </c>
      <c r="I28" s="178">
        <f t="shared" ref="I28" si="37">SUBTOTAL(9,I29:I32)</f>
        <v>0</v>
      </c>
      <c r="J28" s="178">
        <f t="shared" ref="J28" si="38">SUBTOTAL(9,J29:J32)</f>
        <v>211</v>
      </c>
      <c r="K28" s="178">
        <f t="shared" ref="K28" si="39">SUBTOTAL(9,K29:K32)</f>
        <v>0</v>
      </c>
      <c r="L28" s="178">
        <f t="shared" ref="L28" si="40">SUBTOTAL(9,L29:L32)</f>
        <v>0</v>
      </c>
      <c r="N28" s="216">
        <f>G28-H28</f>
        <v>0</v>
      </c>
    </row>
    <row r="29" spans="2:14" x14ac:dyDescent="0.25">
      <c r="B29" s="9" t="s">
        <v>225</v>
      </c>
      <c r="C29" s="216">
        <f t="shared" ref="C29:G29" si="41">C77</f>
        <v>0</v>
      </c>
      <c r="D29" s="216">
        <f t="shared" si="41"/>
        <v>0</v>
      </c>
      <c r="E29" s="216">
        <f t="shared" si="41"/>
        <v>0</v>
      </c>
      <c r="F29" s="216">
        <f t="shared" si="41"/>
        <v>0</v>
      </c>
      <c r="G29" s="216">
        <f t="shared" si="41"/>
        <v>0</v>
      </c>
      <c r="H29" s="178">
        <f>H77</f>
        <v>0</v>
      </c>
      <c r="I29" s="178">
        <f>I77</f>
        <v>0</v>
      </c>
      <c r="J29" s="178">
        <f>J77</f>
        <v>202</v>
      </c>
      <c r="K29" s="178">
        <f>K77</f>
        <v>0</v>
      </c>
      <c r="L29" s="178">
        <f>L77</f>
        <v>0</v>
      </c>
    </row>
    <row r="30" spans="2:14" x14ac:dyDescent="0.25">
      <c r="B30" s="9" t="s">
        <v>263</v>
      </c>
      <c r="C30" s="216"/>
      <c r="D30" s="216"/>
      <c r="E30" s="216"/>
      <c r="F30" s="216"/>
      <c r="G30" s="216"/>
      <c r="H30" s="178"/>
      <c r="I30" s="178"/>
      <c r="J30" s="178"/>
      <c r="K30" s="178"/>
      <c r="L30" s="178"/>
    </row>
    <row r="31" spans="2:14" x14ac:dyDescent="0.25">
      <c r="B31" s="9" t="s">
        <v>218</v>
      </c>
      <c r="C31" s="216">
        <f t="shared" ref="C31:G31" si="42">C98</f>
        <v>0</v>
      </c>
      <c r="D31" s="216">
        <f t="shared" si="42"/>
        <v>0</v>
      </c>
      <c r="E31" s="216">
        <f t="shared" si="42"/>
        <v>0</v>
      </c>
      <c r="F31" s="216">
        <f t="shared" si="42"/>
        <v>0</v>
      </c>
      <c r="G31" s="216">
        <f t="shared" si="42"/>
        <v>0</v>
      </c>
      <c r="H31" s="178">
        <f>H98</f>
        <v>0</v>
      </c>
      <c r="I31" s="178">
        <f>I98</f>
        <v>0</v>
      </c>
      <c r="J31" s="178">
        <f>J98</f>
        <v>9</v>
      </c>
      <c r="K31" s="178">
        <f>K98</f>
        <v>0</v>
      </c>
      <c r="L31" s="178">
        <f>L98</f>
        <v>0</v>
      </c>
    </row>
    <row r="32" spans="2:14" x14ac:dyDescent="0.25">
      <c r="B32" s="9" t="s">
        <v>250</v>
      </c>
      <c r="C32" s="216"/>
      <c r="D32" s="216"/>
      <c r="E32" s="216"/>
      <c r="F32" s="216"/>
      <c r="G32" s="216"/>
      <c r="H32" s="178"/>
      <c r="I32" s="178"/>
      <c r="J32" s="178"/>
      <c r="K32" s="178"/>
      <c r="L32" s="178"/>
    </row>
    <row r="33" spans="2:14" x14ac:dyDescent="0.25">
      <c r="B33" t="s">
        <v>307</v>
      </c>
      <c r="C33" s="216">
        <f t="shared" ref="C33:G33" si="43">SUBTOTAL(9,C34:C37)</f>
        <v>0</v>
      </c>
      <c r="D33" s="216">
        <f t="shared" si="43"/>
        <v>0</v>
      </c>
      <c r="E33" s="216">
        <f t="shared" si="43"/>
        <v>0</v>
      </c>
      <c r="F33" s="216">
        <f t="shared" si="43"/>
        <v>0</v>
      </c>
      <c r="G33" s="216">
        <f t="shared" si="43"/>
        <v>0</v>
      </c>
      <c r="H33" s="178">
        <f>SUBTOTAL(9,H34:H37)</f>
        <v>0</v>
      </c>
      <c r="I33" s="178">
        <f t="shared" ref="I33:L33" si="44">SUBTOTAL(9,I34:I37)</f>
        <v>0</v>
      </c>
      <c r="J33" s="178">
        <f>SUBTOTAL(9,J34:J39)</f>
        <v>90</v>
      </c>
      <c r="K33" s="178">
        <f t="shared" si="44"/>
        <v>0</v>
      </c>
      <c r="L33" s="178">
        <f t="shared" si="44"/>
        <v>0</v>
      </c>
      <c r="N33" s="216">
        <f>G33-H33</f>
        <v>0</v>
      </c>
    </row>
    <row r="34" spans="2:14" x14ac:dyDescent="0.25">
      <c r="B34" s="9" t="s">
        <v>225</v>
      </c>
      <c r="C34" s="216">
        <f t="shared" ref="C34:G34" si="45">C78</f>
        <v>0</v>
      </c>
      <c r="D34" s="216">
        <f t="shared" si="45"/>
        <v>0</v>
      </c>
      <c r="E34" s="216">
        <f t="shared" si="45"/>
        <v>0</v>
      </c>
      <c r="F34" s="216">
        <f t="shared" si="45"/>
        <v>0</v>
      </c>
      <c r="G34" s="216">
        <f t="shared" si="45"/>
        <v>0</v>
      </c>
      <c r="H34" s="178">
        <f>H78</f>
        <v>0</v>
      </c>
      <c r="I34" s="178">
        <f>I78</f>
        <v>0</v>
      </c>
      <c r="J34" s="178">
        <f>J78</f>
        <v>17</v>
      </c>
      <c r="K34" s="178">
        <f>K79</f>
        <v>0</v>
      </c>
      <c r="L34" s="178">
        <f>L79</f>
        <v>0</v>
      </c>
    </row>
    <row r="35" spans="2:14" x14ac:dyDescent="0.25">
      <c r="B35" s="9" t="s">
        <v>263</v>
      </c>
      <c r="C35" s="216">
        <f t="shared" ref="C35:L35" si="46">R78</f>
        <v>0</v>
      </c>
      <c r="D35" s="216">
        <f t="shared" si="46"/>
        <v>0</v>
      </c>
      <c r="E35" s="216">
        <f t="shared" si="46"/>
        <v>0</v>
      </c>
      <c r="F35" s="216">
        <f t="shared" si="46"/>
        <v>0</v>
      </c>
      <c r="G35" s="216">
        <f t="shared" si="46"/>
        <v>0</v>
      </c>
      <c r="H35" s="178">
        <f t="shared" si="46"/>
        <v>0</v>
      </c>
      <c r="I35" s="178">
        <f t="shared" si="46"/>
        <v>0</v>
      </c>
      <c r="J35" s="178">
        <f t="shared" si="46"/>
        <v>23</v>
      </c>
      <c r="K35" s="178">
        <f t="shared" si="46"/>
        <v>0</v>
      </c>
      <c r="L35" s="178">
        <f t="shared" si="46"/>
        <v>0</v>
      </c>
    </row>
    <row r="36" spans="2:14" x14ac:dyDescent="0.25">
      <c r="B36" s="9" t="s">
        <v>218</v>
      </c>
      <c r="C36" s="216">
        <f t="shared" ref="C36:G36" si="47">C99</f>
        <v>0</v>
      </c>
      <c r="D36" s="216">
        <f t="shared" si="47"/>
        <v>0</v>
      </c>
      <c r="E36" s="216">
        <f t="shared" si="47"/>
        <v>0</v>
      </c>
      <c r="F36" s="216">
        <f t="shared" si="47"/>
        <v>0</v>
      </c>
      <c r="G36" s="216">
        <f t="shared" si="47"/>
        <v>0</v>
      </c>
      <c r="H36" s="178">
        <f>H99</f>
        <v>0</v>
      </c>
      <c r="I36" s="178">
        <f>I99</f>
        <v>0</v>
      </c>
      <c r="J36" s="178">
        <f>J99</f>
        <v>13</v>
      </c>
      <c r="K36" s="178">
        <f>K99</f>
        <v>0</v>
      </c>
      <c r="L36" s="178">
        <f>L99</f>
        <v>0</v>
      </c>
    </row>
    <row r="37" spans="2:14" x14ac:dyDescent="0.25">
      <c r="B37" s="9" t="s">
        <v>250</v>
      </c>
      <c r="C37" s="216">
        <f t="shared" ref="C37:L37" si="48">R99</f>
        <v>0</v>
      </c>
      <c r="D37" s="216">
        <f t="shared" si="48"/>
        <v>0</v>
      </c>
      <c r="E37" s="216">
        <f t="shared" si="48"/>
        <v>0</v>
      </c>
      <c r="F37" s="216">
        <f t="shared" si="48"/>
        <v>0</v>
      </c>
      <c r="G37" s="216">
        <f t="shared" si="48"/>
        <v>0</v>
      </c>
      <c r="H37" s="178">
        <f t="shared" si="48"/>
        <v>0</v>
      </c>
      <c r="I37" s="178">
        <f t="shared" si="48"/>
        <v>0</v>
      </c>
      <c r="J37" s="178">
        <f t="shared" si="48"/>
        <v>26</v>
      </c>
      <c r="K37" s="178">
        <f t="shared" si="48"/>
        <v>0</v>
      </c>
      <c r="L37" s="178">
        <f t="shared" si="48"/>
        <v>0</v>
      </c>
    </row>
    <row r="38" spans="2:14" x14ac:dyDescent="0.25">
      <c r="B38" s="9" t="s">
        <v>297</v>
      </c>
      <c r="C38" s="216"/>
      <c r="D38" s="216"/>
      <c r="E38" s="216"/>
      <c r="F38" s="216"/>
      <c r="G38" s="216"/>
      <c r="H38" s="178"/>
      <c r="I38" s="178"/>
      <c r="J38" s="178">
        <f>J111</f>
        <v>9</v>
      </c>
      <c r="K38" s="178"/>
      <c r="L38" s="178"/>
    </row>
    <row r="39" spans="2:14" x14ac:dyDescent="0.25">
      <c r="B39" s="9" t="s">
        <v>941</v>
      </c>
      <c r="C39" s="216"/>
      <c r="D39" s="216"/>
      <c r="E39" s="216"/>
      <c r="F39" s="216"/>
      <c r="G39" s="216"/>
      <c r="H39" s="178"/>
      <c r="I39" s="178"/>
      <c r="J39" s="178">
        <f>J115</f>
        <v>2</v>
      </c>
      <c r="K39" s="178"/>
      <c r="L39" s="178"/>
    </row>
    <row r="40" spans="2:14" x14ac:dyDescent="0.25">
      <c r="B40" t="s">
        <v>310</v>
      </c>
      <c r="C40" s="216">
        <f t="shared" ref="C40:G40" si="49">SUBTOTAL(9,C41:C44)</f>
        <v>10.399999999999499</v>
      </c>
      <c r="D40" s="216">
        <f t="shared" si="49"/>
        <v>12.19999999999934</v>
      </c>
      <c r="E40" s="216">
        <f t="shared" si="49"/>
        <v>13.999999999999977</v>
      </c>
      <c r="F40" s="216">
        <f t="shared" si="49"/>
        <v>15.799999999999818</v>
      </c>
      <c r="G40" s="216">
        <f t="shared" si="49"/>
        <v>17.59999999999966</v>
      </c>
      <c r="H40" s="178">
        <f>SUBTOTAL(9,H41:H44)</f>
        <v>18</v>
      </c>
      <c r="I40" s="178">
        <f t="shared" ref="I40:L40" si="50">SUBTOTAL(9,I41:I44)</f>
        <v>23</v>
      </c>
      <c r="J40" s="178">
        <f t="shared" si="50"/>
        <v>24</v>
      </c>
      <c r="K40" s="178">
        <f t="shared" si="50"/>
        <v>23</v>
      </c>
      <c r="L40" s="178">
        <f t="shared" si="50"/>
        <v>27</v>
      </c>
      <c r="N40" s="216">
        <f>G40-H40</f>
        <v>-0.40000000000033964</v>
      </c>
    </row>
    <row r="41" spans="2:14" x14ac:dyDescent="0.25">
      <c r="B41" s="9" t="s">
        <v>225</v>
      </c>
      <c r="C41" s="216">
        <f t="shared" ref="C41:G41" si="51">C75</f>
        <v>-4.4000000000005457</v>
      </c>
      <c r="D41" s="216">
        <f t="shared" si="51"/>
        <v>-2.2000000000007276</v>
      </c>
      <c r="E41" s="216">
        <f t="shared" si="51"/>
        <v>0</v>
      </c>
      <c r="F41" s="216">
        <f t="shared" si="51"/>
        <v>2.1999999999998181</v>
      </c>
      <c r="G41" s="216">
        <f t="shared" si="51"/>
        <v>4.3999999999996362</v>
      </c>
      <c r="H41" s="178">
        <f>H75</f>
        <v>6</v>
      </c>
      <c r="I41" s="178">
        <f>I75</f>
        <v>10</v>
      </c>
      <c r="J41" s="178">
        <f>J75</f>
        <v>11</v>
      </c>
      <c r="K41" s="178">
        <f>K75</f>
        <v>12</v>
      </c>
      <c r="L41" s="178">
        <f>L75</f>
        <v>16</v>
      </c>
    </row>
    <row r="42" spans="2:14" x14ac:dyDescent="0.25">
      <c r="B42" s="9" t="s">
        <v>263</v>
      </c>
      <c r="C42" s="216">
        <f t="shared" ref="C42:L42" si="52">R75</f>
        <v>9.6000000000001364</v>
      </c>
      <c r="D42" s="216">
        <f t="shared" si="52"/>
        <v>8.8000000000001819</v>
      </c>
      <c r="E42" s="216">
        <f t="shared" si="52"/>
        <v>8</v>
      </c>
      <c r="F42" s="216">
        <f t="shared" si="52"/>
        <v>7.2000000000000455</v>
      </c>
      <c r="G42" s="216">
        <f t="shared" si="52"/>
        <v>6.4000000000000909</v>
      </c>
      <c r="H42" s="178">
        <f t="shared" si="52"/>
        <v>6</v>
      </c>
      <c r="I42" s="178">
        <f t="shared" si="52"/>
        <v>4</v>
      </c>
      <c r="J42" s="178">
        <f t="shared" si="52"/>
        <v>4</v>
      </c>
      <c r="K42" s="178">
        <f t="shared" si="52"/>
        <v>4</v>
      </c>
      <c r="L42" s="178">
        <f t="shared" si="52"/>
        <v>2</v>
      </c>
    </row>
    <row r="43" spans="2:14" x14ac:dyDescent="0.25">
      <c r="B43" s="9" t="s">
        <v>218</v>
      </c>
      <c r="C43" s="216">
        <f t="shared" ref="C43:G43" si="53">C96</f>
        <v>3.6</v>
      </c>
      <c r="D43" s="216">
        <f t="shared" si="53"/>
        <v>3.6</v>
      </c>
      <c r="E43" s="216">
        <f t="shared" si="53"/>
        <v>3.6</v>
      </c>
      <c r="F43" s="216">
        <f t="shared" si="53"/>
        <v>3.6</v>
      </c>
      <c r="G43" s="216">
        <f t="shared" si="53"/>
        <v>3.6</v>
      </c>
      <c r="H43" s="178">
        <f>H96</f>
        <v>3</v>
      </c>
      <c r="I43" s="178">
        <f>I96</f>
        <v>4</v>
      </c>
      <c r="J43" s="178">
        <f>J96</f>
        <v>4</v>
      </c>
      <c r="K43" s="178">
        <f>K96</f>
        <v>4</v>
      </c>
      <c r="L43" s="178">
        <f>L96</f>
        <v>3</v>
      </c>
    </row>
    <row r="44" spans="2:14" x14ac:dyDescent="0.25">
      <c r="B44" s="9" t="s">
        <v>250</v>
      </c>
      <c r="C44" s="216">
        <f t="shared" ref="C44:L44" si="54">R96</f>
        <v>1.5999999999999091</v>
      </c>
      <c r="D44" s="216">
        <f t="shared" si="54"/>
        <v>1.9999999999998863</v>
      </c>
      <c r="E44" s="216">
        <f t="shared" si="54"/>
        <v>2.3999999999999773</v>
      </c>
      <c r="F44" s="216">
        <f t="shared" si="54"/>
        <v>2.7999999999999545</v>
      </c>
      <c r="G44" s="216">
        <f t="shared" si="54"/>
        <v>3.1999999999999318</v>
      </c>
      <c r="H44" s="178">
        <f t="shared" si="54"/>
        <v>3</v>
      </c>
      <c r="I44" s="178">
        <f t="shared" si="54"/>
        <v>5</v>
      </c>
      <c r="J44" s="178">
        <f t="shared" si="54"/>
        <v>5</v>
      </c>
      <c r="K44" s="178">
        <f t="shared" si="54"/>
        <v>3</v>
      </c>
      <c r="L44" s="178">
        <f t="shared" si="54"/>
        <v>6</v>
      </c>
    </row>
    <row r="45" spans="2:14" x14ac:dyDescent="0.25">
      <c r="B45" t="s">
        <v>336</v>
      </c>
      <c r="C45" s="216">
        <f t="shared" ref="C45:G45" si="55">SUBTOTAL(9,C46:C49)</f>
        <v>792.50000000000728</v>
      </c>
      <c r="D45" s="216">
        <f t="shared" si="55"/>
        <v>750.00000000001091</v>
      </c>
      <c r="E45" s="216">
        <f t="shared" si="55"/>
        <v>707.50000000000364</v>
      </c>
      <c r="F45" s="216">
        <f t="shared" si="55"/>
        <v>665.00000000000728</v>
      </c>
      <c r="G45" s="216">
        <f t="shared" si="55"/>
        <v>622.50000000000728</v>
      </c>
      <c r="H45" s="178">
        <f>SUBTOTAL(9,H46:H49)</f>
        <v>580</v>
      </c>
      <c r="I45" s="178">
        <f>SUBTOTAL(9,I46:I49)</f>
        <v>527</v>
      </c>
      <c r="J45" s="178">
        <f>SUBTOTAL(9,J46:J49)</f>
        <v>511</v>
      </c>
      <c r="K45" s="178">
        <f>SUBTOTAL(9,K46:K49)</f>
        <v>452</v>
      </c>
      <c r="L45" s="178">
        <f>SUBTOTAL(9,L46:L49)</f>
        <v>405</v>
      </c>
      <c r="N45" s="216">
        <f>G45-H45</f>
        <v>42.500000000007276</v>
      </c>
    </row>
    <row r="46" spans="2:14" x14ac:dyDescent="0.25">
      <c r="B46" s="9" t="s">
        <v>225</v>
      </c>
      <c r="C46" s="216">
        <f t="shared" ref="C46:G46" si="56">C72</f>
        <v>129</v>
      </c>
      <c r="D46" s="216">
        <f t="shared" si="56"/>
        <v>137.60000000000218</v>
      </c>
      <c r="E46" s="216">
        <f t="shared" si="56"/>
        <v>146.20000000000073</v>
      </c>
      <c r="F46" s="216">
        <f t="shared" si="56"/>
        <v>154.80000000000291</v>
      </c>
      <c r="G46" s="216">
        <f t="shared" si="56"/>
        <v>163.40000000000146</v>
      </c>
      <c r="H46" s="178">
        <f>H72</f>
        <v>184</v>
      </c>
      <c r="I46" s="178">
        <f>I72</f>
        <v>163</v>
      </c>
      <c r="J46" s="178">
        <f>J72</f>
        <v>187</v>
      </c>
      <c r="K46" s="178">
        <f>K72</f>
        <v>207</v>
      </c>
      <c r="L46" s="178">
        <f>L72</f>
        <v>205</v>
      </c>
    </row>
    <row r="47" spans="2:14" x14ac:dyDescent="0.25">
      <c r="B47" s="9" t="s">
        <v>263</v>
      </c>
      <c r="C47" s="216">
        <f t="shared" ref="C47:L47" si="57">R72</f>
        <v>203.20000000000073</v>
      </c>
      <c r="D47" s="216">
        <f t="shared" si="57"/>
        <v>187.80000000000291</v>
      </c>
      <c r="E47" s="216">
        <f t="shared" si="57"/>
        <v>172.40000000000146</v>
      </c>
      <c r="F47" s="216">
        <f t="shared" si="57"/>
        <v>157.00000000000364</v>
      </c>
      <c r="G47" s="216">
        <f t="shared" si="57"/>
        <v>141.60000000000218</v>
      </c>
      <c r="H47" s="178">
        <f t="shared" si="57"/>
        <v>116</v>
      </c>
      <c r="I47" s="178">
        <f t="shared" si="57"/>
        <v>116</v>
      </c>
      <c r="J47" s="178">
        <f t="shared" si="57"/>
        <v>105</v>
      </c>
      <c r="K47" s="178">
        <f t="shared" si="57"/>
        <v>86</v>
      </c>
      <c r="L47" s="178">
        <f t="shared" si="57"/>
        <v>54</v>
      </c>
    </row>
    <row r="48" spans="2:14" x14ac:dyDescent="0.25">
      <c r="B48" s="9" t="s">
        <v>218</v>
      </c>
      <c r="C48" s="216">
        <f t="shared" ref="C48:G48" si="58">C93</f>
        <v>234.10000000000218</v>
      </c>
      <c r="D48" s="216">
        <f t="shared" si="58"/>
        <v>218</v>
      </c>
      <c r="E48" s="216">
        <f t="shared" si="58"/>
        <v>201.90000000000146</v>
      </c>
      <c r="F48" s="216">
        <f t="shared" si="58"/>
        <v>185.79999999999927</v>
      </c>
      <c r="G48" s="216">
        <f t="shared" si="58"/>
        <v>169.70000000000073</v>
      </c>
      <c r="H48" s="178">
        <f>H93</f>
        <v>163</v>
      </c>
      <c r="I48" s="178">
        <f>I93</f>
        <v>133</v>
      </c>
      <c r="J48" s="178">
        <f>J93</f>
        <v>109</v>
      </c>
      <c r="K48" s="178">
        <f>K93</f>
        <v>106</v>
      </c>
      <c r="L48" s="178">
        <f>L93</f>
        <v>96</v>
      </c>
    </row>
    <row r="49" spans="2:18" x14ac:dyDescent="0.25">
      <c r="B49" s="9" t="s">
        <v>250</v>
      </c>
      <c r="C49" s="216">
        <f t="shared" ref="C49:L49" si="59">R93</f>
        <v>226.20000000000437</v>
      </c>
      <c r="D49" s="216">
        <f t="shared" si="59"/>
        <v>206.60000000000582</v>
      </c>
      <c r="E49" s="216">
        <f t="shared" si="59"/>
        <v>187</v>
      </c>
      <c r="F49" s="216">
        <f t="shared" si="59"/>
        <v>167.40000000000146</v>
      </c>
      <c r="G49" s="216">
        <f t="shared" si="59"/>
        <v>147.80000000000291</v>
      </c>
      <c r="H49" s="178">
        <f t="shared" si="59"/>
        <v>117</v>
      </c>
      <c r="I49" s="178">
        <f t="shared" si="59"/>
        <v>115</v>
      </c>
      <c r="J49" s="178">
        <f t="shared" si="59"/>
        <v>110</v>
      </c>
      <c r="K49" s="178">
        <f t="shared" si="59"/>
        <v>53</v>
      </c>
      <c r="L49" s="178">
        <f t="shared" si="59"/>
        <v>50</v>
      </c>
    </row>
    <row r="50" spans="2:18" x14ac:dyDescent="0.25">
      <c r="B50" t="s">
        <v>947</v>
      </c>
      <c r="C50" s="216">
        <f t="shared" ref="C50:G50" si="60">SUBTOTAL(9,C51:C54)</f>
        <v>617.5</v>
      </c>
      <c r="D50" s="216">
        <f t="shared" si="60"/>
        <v>660</v>
      </c>
      <c r="E50" s="216">
        <f t="shared" si="60"/>
        <v>702.5</v>
      </c>
      <c r="F50" s="216">
        <f t="shared" si="60"/>
        <v>745</v>
      </c>
      <c r="G50" s="216">
        <f t="shared" si="60"/>
        <v>745</v>
      </c>
      <c r="H50" s="236">
        <f>SUBTOTAL(9,H51:H54)</f>
        <v>506</v>
      </c>
      <c r="I50" s="236">
        <f>SUBTOTAL(9,I51:I54)</f>
        <v>531</v>
      </c>
      <c r="J50" s="236">
        <f>SUBTOTAL(9,J51:J54)</f>
        <v>744</v>
      </c>
      <c r="K50" s="236">
        <f>SUBTOTAL(9,K51:K54)</f>
        <v>743</v>
      </c>
      <c r="L50" s="236">
        <f>SUBTOTAL(9,L51:L54)</f>
        <v>676</v>
      </c>
      <c r="N50" s="216">
        <f>G50-H50</f>
        <v>239</v>
      </c>
    </row>
    <row r="51" spans="2:18" x14ac:dyDescent="0.25">
      <c r="B51" s="9" t="s">
        <v>225</v>
      </c>
      <c r="C51" s="216">
        <f>'N21 Op Segs'!K22</f>
        <v>140.74638379942144</v>
      </c>
      <c r="D51" s="216">
        <f>'N21 Op Segs'!L22</f>
        <v>186.74638379942144</v>
      </c>
      <c r="E51" s="216">
        <f>'N21 Op Segs'!M22</f>
        <v>232.74638379942144</v>
      </c>
      <c r="F51" s="216">
        <f>'N21 Op Segs'!N22</f>
        <v>278.74638379942144</v>
      </c>
      <c r="G51" s="216">
        <f>'N21 Op Segs'!O22</f>
        <v>278.74638379942144</v>
      </c>
      <c r="H51" s="246">
        <f>'N21 Op Segs'!P22</f>
        <v>188</v>
      </c>
      <c r="I51" s="236">
        <f>'N21 Op Segs'!Q22</f>
        <v>200</v>
      </c>
      <c r="J51" s="236">
        <f>'N21 Op Segs'!R22</f>
        <v>345</v>
      </c>
      <c r="K51" s="236">
        <f>'N21 Op Segs'!S22</f>
        <v>395</v>
      </c>
      <c r="L51" s="236">
        <f>'N21 Op Segs'!T22</f>
        <v>372</v>
      </c>
    </row>
    <row r="52" spans="2:18" x14ac:dyDescent="0.25">
      <c r="B52" s="9" t="s">
        <v>263</v>
      </c>
      <c r="C52" s="216">
        <f>'N21 Op Segs'!K23</f>
        <v>174.52844744455157</v>
      </c>
      <c r="D52" s="216">
        <f>'N21 Op Segs'!L23</f>
        <v>163.52844744455157</v>
      </c>
      <c r="E52" s="216">
        <f>'N21 Op Segs'!M23</f>
        <v>152.52844744455157</v>
      </c>
      <c r="F52" s="216">
        <f>'N21 Op Segs'!N23</f>
        <v>141.52844744455157</v>
      </c>
      <c r="G52" s="216">
        <f>'N21 Op Segs'!O23</f>
        <v>141.52844744455157</v>
      </c>
      <c r="H52" s="246">
        <f>'N21 Op Segs'!P23</f>
        <v>101</v>
      </c>
      <c r="I52" s="236">
        <f>'N21 Op Segs'!Q23</f>
        <v>96</v>
      </c>
      <c r="J52" s="236">
        <f>'N21 Op Segs'!R23</f>
        <v>125</v>
      </c>
      <c r="K52" s="236">
        <f>'N21 Op Segs'!S23</f>
        <v>89</v>
      </c>
      <c r="L52" s="236">
        <f>'N21 Op Segs'!T23</f>
        <v>57</v>
      </c>
    </row>
    <row r="53" spans="2:18" x14ac:dyDescent="0.25">
      <c r="B53" s="9" t="s">
        <v>218</v>
      </c>
      <c r="C53" s="216">
        <f>'N21 Op Segs'!K24</f>
        <v>183.47299903567983</v>
      </c>
      <c r="D53" s="216">
        <f>'N21 Op Segs'!L24</f>
        <v>186.97299903567983</v>
      </c>
      <c r="E53" s="216">
        <f>'N21 Op Segs'!M24</f>
        <v>190.47299903567983</v>
      </c>
      <c r="F53" s="216">
        <f>'N21 Op Segs'!N24</f>
        <v>193.97299903567983</v>
      </c>
      <c r="G53" s="216">
        <f>'N21 Op Segs'!O24</f>
        <v>193.97299903567983</v>
      </c>
      <c r="H53" s="246">
        <f>'N21 Op Segs'!P24</f>
        <v>127</v>
      </c>
      <c r="I53" s="236">
        <f>'N21 Op Segs'!Q24</f>
        <v>143</v>
      </c>
      <c r="J53" s="236">
        <f>'N21 Op Segs'!R24</f>
        <v>137</v>
      </c>
      <c r="K53" s="236">
        <f>'N21 Op Segs'!S24</f>
        <v>162</v>
      </c>
      <c r="L53" s="236">
        <f>'N21 Op Segs'!T24</f>
        <v>141</v>
      </c>
    </row>
    <row r="54" spans="2:18" x14ac:dyDescent="0.25">
      <c r="B54" s="9" t="s">
        <v>250</v>
      </c>
      <c r="C54" s="216">
        <f>'N21 Op Segs'!K25</f>
        <v>118.75216972034715</v>
      </c>
      <c r="D54" s="216">
        <f>'N21 Op Segs'!L25</f>
        <v>122.75216972034715</v>
      </c>
      <c r="E54" s="216">
        <f>'N21 Op Segs'!M25</f>
        <v>126.75216972034715</v>
      </c>
      <c r="F54" s="216">
        <f>'N21 Op Segs'!N25</f>
        <v>130.75216972034715</v>
      </c>
      <c r="G54" s="216">
        <f>'N21 Op Segs'!O25</f>
        <v>130.75216972034715</v>
      </c>
      <c r="H54" s="246">
        <f>'N21 Op Segs'!P25</f>
        <v>90</v>
      </c>
      <c r="I54" s="236">
        <f>'N21 Op Segs'!Q25</f>
        <v>92</v>
      </c>
      <c r="J54" s="236">
        <f>'N21 Op Segs'!R25</f>
        <v>137</v>
      </c>
      <c r="K54" s="236">
        <f>'N21 Op Segs'!S25</f>
        <v>97</v>
      </c>
      <c r="L54" s="236">
        <f>'N21 Op Segs'!T25</f>
        <v>106</v>
      </c>
    </row>
    <row r="55" spans="2:18" x14ac:dyDescent="0.25">
      <c r="B55" t="s">
        <v>937</v>
      </c>
      <c r="C55" s="216">
        <f t="shared" ref="C55:G55" si="61">SUBTOTAL(9,C56:C59)</f>
        <v>1437.25</v>
      </c>
      <c r="D55" s="216">
        <f t="shared" si="61"/>
        <v>1381</v>
      </c>
      <c r="E55" s="216">
        <f t="shared" si="61"/>
        <v>1324.75</v>
      </c>
      <c r="F55" s="216">
        <f t="shared" si="61"/>
        <v>1268.5</v>
      </c>
      <c r="G55" s="216">
        <f t="shared" si="61"/>
        <v>1212.25</v>
      </c>
      <c r="H55" s="246">
        <f>SUBTOTAL(9,H56:H59)</f>
        <v>1156</v>
      </c>
      <c r="I55" s="236">
        <f>SUBTOTAL(9,I56:I59)</f>
        <v>946</v>
      </c>
      <c r="J55" s="236">
        <f>SUBTOTAL(9,J56:J59)</f>
        <v>975</v>
      </c>
      <c r="K55" s="236">
        <f>SUBTOTAL(9,K56:K59)</f>
        <v>981</v>
      </c>
      <c r="L55" s="236">
        <f>SUBTOTAL(9,L56:L59)</f>
        <v>931</v>
      </c>
      <c r="N55" s="216">
        <f>G55-H55</f>
        <v>56.25</v>
      </c>
      <c r="P55" s="236"/>
      <c r="Q55" s="236"/>
      <c r="R55" s="236"/>
    </row>
    <row r="56" spans="2:18" x14ac:dyDescent="0.25">
      <c r="B56" s="9" t="s">
        <v>225</v>
      </c>
      <c r="C56" s="246">
        <f>'N21 Op Segs'!K16</f>
        <v>671</v>
      </c>
      <c r="D56" s="246">
        <f>'N21 Op Segs'!L16</f>
        <v>643</v>
      </c>
      <c r="E56" s="246">
        <f>'N21 Op Segs'!M16</f>
        <v>615</v>
      </c>
      <c r="F56" s="246">
        <f>'N21 Op Segs'!N16</f>
        <v>587</v>
      </c>
      <c r="G56" s="246">
        <f>'N21 Op Segs'!O16</f>
        <v>559</v>
      </c>
      <c r="H56" s="236">
        <f>'N21 Op Segs'!P16</f>
        <v>531</v>
      </c>
      <c r="I56" s="236">
        <f>'N21 Op Segs'!Q16</f>
        <v>427</v>
      </c>
      <c r="J56" s="236">
        <f>'N21 Op Segs'!R16</f>
        <v>445</v>
      </c>
      <c r="K56" s="236">
        <f>'N21 Op Segs'!S16</f>
        <v>468</v>
      </c>
      <c r="L56" s="236">
        <f>'N21 Op Segs'!T16</f>
        <v>419</v>
      </c>
    </row>
    <row r="57" spans="2:18" x14ac:dyDescent="0.25">
      <c r="B57" s="9" t="s">
        <v>263</v>
      </c>
      <c r="C57" s="246">
        <f>'N21 Op Segs'!K17</f>
        <v>273.25</v>
      </c>
      <c r="D57" s="246">
        <f>'N21 Op Segs'!L17</f>
        <v>272</v>
      </c>
      <c r="E57" s="246">
        <f>'N21 Op Segs'!M17</f>
        <v>270.75</v>
      </c>
      <c r="F57" s="246">
        <f>'N21 Op Segs'!N17</f>
        <v>269.5</v>
      </c>
      <c r="G57" s="246">
        <f>'N21 Op Segs'!O17</f>
        <v>268.25</v>
      </c>
      <c r="H57" s="236">
        <f>'N21 Op Segs'!P17</f>
        <v>267</v>
      </c>
      <c r="I57" s="236">
        <f>'N21 Op Segs'!Q17</f>
        <v>204</v>
      </c>
      <c r="J57" s="236">
        <f>'N21 Op Segs'!R17</f>
        <v>192</v>
      </c>
      <c r="K57" s="236">
        <f>'N21 Op Segs'!S17</f>
        <v>209</v>
      </c>
      <c r="L57" s="236">
        <f>'N21 Op Segs'!T17</f>
        <v>262</v>
      </c>
    </row>
    <row r="58" spans="2:18" x14ac:dyDescent="0.25">
      <c r="B58" s="9" t="s">
        <v>218</v>
      </c>
      <c r="C58" s="246">
        <f>'N21 Op Segs'!K18</f>
        <v>261.5</v>
      </c>
      <c r="D58" s="246">
        <f>'N21 Op Segs'!L18</f>
        <v>248</v>
      </c>
      <c r="E58" s="246">
        <f>'N21 Op Segs'!M18</f>
        <v>234.5</v>
      </c>
      <c r="F58" s="246">
        <f>'N21 Op Segs'!N18</f>
        <v>221</v>
      </c>
      <c r="G58" s="246">
        <f>'N21 Op Segs'!O18</f>
        <v>207.5</v>
      </c>
      <c r="H58" s="236">
        <f>'N21 Op Segs'!P18</f>
        <v>194</v>
      </c>
      <c r="I58" s="236">
        <f>'N21 Op Segs'!Q18</f>
        <v>176</v>
      </c>
      <c r="J58" s="236">
        <f>'N21 Op Segs'!R18</f>
        <v>150</v>
      </c>
      <c r="K58" s="236">
        <f>'N21 Op Segs'!S18</f>
        <v>164</v>
      </c>
      <c r="L58" s="236">
        <f>'N21 Op Segs'!T18</f>
        <v>140</v>
      </c>
    </row>
    <row r="59" spans="2:18" x14ac:dyDescent="0.25">
      <c r="B59" s="9" t="s">
        <v>250</v>
      </c>
      <c r="C59" s="246">
        <f>'N21 Op Segs'!K19</f>
        <v>231.5</v>
      </c>
      <c r="D59" s="246">
        <f>'N21 Op Segs'!L19</f>
        <v>218</v>
      </c>
      <c r="E59" s="246">
        <f>'N21 Op Segs'!M19</f>
        <v>204.5</v>
      </c>
      <c r="F59" s="246">
        <f>'N21 Op Segs'!N19</f>
        <v>191</v>
      </c>
      <c r="G59" s="246">
        <f>'N21 Op Segs'!O19</f>
        <v>177.5</v>
      </c>
      <c r="H59" s="236">
        <f>'N21 Op Segs'!P19</f>
        <v>164</v>
      </c>
      <c r="I59" s="236">
        <f>'N21 Op Segs'!Q19</f>
        <v>139</v>
      </c>
      <c r="J59" s="236">
        <f>'N21 Op Segs'!R19</f>
        <v>188</v>
      </c>
      <c r="K59" s="236">
        <f>'N21 Op Segs'!S19</f>
        <v>140</v>
      </c>
      <c r="L59" s="236">
        <f>'N21 Op Segs'!T19</f>
        <v>110</v>
      </c>
    </row>
    <row r="60" spans="2:18" x14ac:dyDescent="0.25">
      <c r="B60" t="s">
        <v>854</v>
      </c>
      <c r="C60" s="216">
        <f t="shared" ref="C60:G60" si="62">SUM(C61:C64)</f>
        <v>18791.700000000012</v>
      </c>
      <c r="D60" s="216">
        <f t="shared" si="62"/>
        <v>18453.600000000235</v>
      </c>
      <c r="E60" s="216">
        <f t="shared" si="62"/>
        <v>18115.499999999931</v>
      </c>
      <c r="F60" s="216">
        <f t="shared" si="62"/>
        <v>17777.400000000154</v>
      </c>
      <c r="G60" s="216">
        <f t="shared" si="62"/>
        <v>17439.300000000083</v>
      </c>
      <c r="H60" s="216">
        <f>SUM(H61:H64)</f>
        <v>17777</v>
      </c>
      <c r="I60" s="246">
        <f t="shared" ref="I60:L60" si="63">SUM(I61:I64)</f>
        <v>15348</v>
      </c>
      <c r="J60" s="246">
        <f t="shared" si="63"/>
        <v>16814</v>
      </c>
      <c r="K60" s="246">
        <f t="shared" si="63"/>
        <v>16851</v>
      </c>
      <c r="L60" s="246">
        <f t="shared" si="63"/>
        <v>15335</v>
      </c>
      <c r="N60" s="216">
        <f>G60-H60</f>
        <v>-337.69999999991705</v>
      </c>
    </row>
    <row r="61" spans="2:18" x14ac:dyDescent="0.25">
      <c r="B61" s="9" t="s">
        <v>225</v>
      </c>
      <c r="C61" s="216">
        <f t="shared" ref="C61:G61" si="64">C80</f>
        <v>2358.6999999999534</v>
      </c>
      <c r="D61" s="216">
        <f t="shared" si="64"/>
        <v>2940.6000000000931</v>
      </c>
      <c r="E61" s="216">
        <f t="shared" si="64"/>
        <v>3522.5</v>
      </c>
      <c r="F61" s="216">
        <f t="shared" si="64"/>
        <v>4104.4000000001397</v>
      </c>
      <c r="G61" s="216">
        <f t="shared" si="64"/>
        <v>4686.3000000000466</v>
      </c>
      <c r="H61" s="216">
        <f>H80</f>
        <v>5768</v>
      </c>
      <c r="I61" s="246">
        <f t="shared" ref="I61:L61" si="65">I80</f>
        <v>5166</v>
      </c>
      <c r="J61" s="246">
        <f t="shared" si="65"/>
        <v>6214</v>
      </c>
      <c r="K61" s="246">
        <f t="shared" si="65"/>
        <v>7503</v>
      </c>
      <c r="L61" s="246">
        <f t="shared" si="65"/>
        <v>7509</v>
      </c>
    </row>
    <row r="62" spans="2:18" x14ac:dyDescent="0.25">
      <c r="B62" s="9" t="s">
        <v>263</v>
      </c>
      <c r="C62" s="216">
        <f t="shared" ref="C62:L62" si="66">R80</f>
        <v>10504.300000000047</v>
      </c>
      <c r="D62" s="216">
        <f t="shared" si="66"/>
        <v>9764.6000000000931</v>
      </c>
      <c r="E62" s="216">
        <f t="shared" si="66"/>
        <v>9024.8999999999069</v>
      </c>
      <c r="F62" s="216">
        <f t="shared" si="66"/>
        <v>8285.1999999999534</v>
      </c>
      <c r="G62" s="216">
        <f t="shared" si="66"/>
        <v>7545.5</v>
      </c>
      <c r="H62" s="216">
        <f t="shared" si="66"/>
        <v>6676</v>
      </c>
      <c r="I62" s="246">
        <f t="shared" si="66"/>
        <v>5822</v>
      </c>
      <c r="J62" s="246">
        <f t="shared" si="66"/>
        <v>5854</v>
      </c>
      <c r="K62" s="246">
        <f t="shared" si="66"/>
        <v>4783</v>
      </c>
      <c r="L62" s="246">
        <f t="shared" si="66"/>
        <v>3497</v>
      </c>
    </row>
    <row r="63" spans="2:18" x14ac:dyDescent="0.25">
      <c r="B63" s="9" t="s">
        <v>218</v>
      </c>
      <c r="C63" s="216">
        <f t="shared" ref="C63:G63" si="67">C101</f>
        <v>4080.7000000000116</v>
      </c>
      <c r="D63" s="216">
        <f t="shared" si="67"/>
        <v>3905.8000000000466</v>
      </c>
      <c r="E63" s="216">
        <f t="shared" si="67"/>
        <v>3730.9000000000233</v>
      </c>
      <c r="F63" s="216">
        <f t="shared" si="67"/>
        <v>3556.0000000000582</v>
      </c>
      <c r="G63" s="216">
        <f t="shared" si="67"/>
        <v>3381.1000000000349</v>
      </c>
      <c r="H63" s="216">
        <f>H101</f>
        <v>3412</v>
      </c>
      <c r="I63" s="246">
        <f t="shared" ref="I63:L63" si="68">I101</f>
        <v>2706</v>
      </c>
      <c r="J63" s="246">
        <f t="shared" si="68"/>
        <v>2817</v>
      </c>
      <c r="K63" s="246">
        <f t="shared" si="68"/>
        <v>2913</v>
      </c>
      <c r="L63" s="246">
        <f t="shared" si="68"/>
        <v>2434</v>
      </c>
    </row>
    <row r="64" spans="2:18" x14ac:dyDescent="0.25">
      <c r="B64" s="9" t="s">
        <v>250</v>
      </c>
      <c r="C64" s="216">
        <f t="shared" ref="C64:L64" si="69">R101</f>
        <v>1848.0000000000018</v>
      </c>
      <c r="D64" s="216">
        <f t="shared" si="69"/>
        <v>1842.6000000000022</v>
      </c>
      <c r="E64" s="216">
        <f t="shared" si="69"/>
        <v>1837.2000000000007</v>
      </c>
      <c r="F64" s="216">
        <f t="shared" si="69"/>
        <v>1831.8000000000011</v>
      </c>
      <c r="G64" s="216">
        <f t="shared" si="69"/>
        <v>1826.4000000000015</v>
      </c>
      <c r="H64" s="216">
        <f t="shared" si="69"/>
        <v>1921</v>
      </c>
      <c r="I64" s="246">
        <f t="shared" si="69"/>
        <v>1654</v>
      </c>
      <c r="J64" s="246">
        <f t="shared" si="69"/>
        <v>1929</v>
      </c>
      <c r="K64" s="246">
        <f t="shared" si="69"/>
        <v>1652</v>
      </c>
      <c r="L64" s="246">
        <f t="shared" si="69"/>
        <v>1895</v>
      </c>
    </row>
    <row r="66" spans="2:30" x14ac:dyDescent="0.25">
      <c r="B66" s="1" t="s">
        <v>211</v>
      </c>
      <c r="I66" t="s">
        <v>282</v>
      </c>
      <c r="L66" t="s">
        <v>282</v>
      </c>
      <c r="Q66" s="1" t="s">
        <v>214</v>
      </c>
      <c r="U66" s="178"/>
      <c r="V66" s="178"/>
      <c r="W66" s="178"/>
      <c r="X66" s="178"/>
      <c r="Y66" s="178"/>
    </row>
    <row r="67" spans="2:30" x14ac:dyDescent="0.25">
      <c r="M67" s="281" t="s">
        <v>1028</v>
      </c>
      <c r="N67" s="281" t="s">
        <v>1114</v>
      </c>
      <c r="O67" s="281" t="s">
        <v>1025</v>
      </c>
      <c r="Q67" t="s">
        <v>282</v>
      </c>
      <c r="U67" s="178"/>
      <c r="V67" s="178"/>
      <c r="W67" s="178"/>
      <c r="X67" s="178"/>
      <c r="Y67" s="178"/>
      <c r="AB67" s="281" t="s">
        <v>1028</v>
      </c>
      <c r="AC67" s="281" t="s">
        <v>1114</v>
      </c>
      <c r="AD67" s="281" t="s">
        <v>1025</v>
      </c>
    </row>
    <row r="68" spans="2:30" x14ac:dyDescent="0.25">
      <c r="B68" t="s">
        <v>295</v>
      </c>
      <c r="C68" s="246">
        <v>2022</v>
      </c>
      <c r="D68" s="246">
        <v>2021</v>
      </c>
      <c r="E68" s="246">
        <v>2020</v>
      </c>
      <c r="F68" s="246">
        <v>2019</v>
      </c>
      <c r="G68" s="246">
        <v>2018</v>
      </c>
      <c r="H68" s="54">
        <v>2017</v>
      </c>
      <c r="I68" s="54">
        <v>2016</v>
      </c>
      <c r="J68" s="54">
        <v>2015</v>
      </c>
      <c r="K68" s="128">
        <v>2014</v>
      </c>
      <c r="L68" s="128">
        <v>2013</v>
      </c>
      <c r="Q68" t="s">
        <v>295</v>
      </c>
      <c r="R68" s="246">
        <v>2022</v>
      </c>
      <c r="S68" s="246">
        <v>2021</v>
      </c>
      <c r="T68" s="246">
        <v>2020</v>
      </c>
      <c r="U68" s="246">
        <v>2019</v>
      </c>
      <c r="V68" s="246">
        <v>2018</v>
      </c>
      <c r="W68" s="178">
        <v>2017</v>
      </c>
      <c r="X68" s="178">
        <v>2016</v>
      </c>
      <c r="Y68" s="178">
        <v>2015</v>
      </c>
      <c r="Z68" s="178">
        <v>2014</v>
      </c>
      <c r="AA68" s="178">
        <v>2013</v>
      </c>
    </row>
    <row r="69" spans="2:30" x14ac:dyDescent="0.25">
      <c r="B69" t="s">
        <v>333</v>
      </c>
      <c r="C69" s="216">
        <f t="shared" ref="C69:F75" si="70">$N69+C$68*$M69</f>
        <v>3058.3000000000466</v>
      </c>
      <c r="D69" s="216">
        <f t="shared" si="70"/>
        <v>3646.3999999999069</v>
      </c>
      <c r="E69" s="216">
        <f t="shared" si="70"/>
        <v>4234.5</v>
      </c>
      <c r="F69" s="216">
        <f t="shared" si="70"/>
        <v>4822.5999999998603</v>
      </c>
      <c r="G69" s="216">
        <f>$N69+G$68*$M69</f>
        <v>5410.6999999999534</v>
      </c>
      <c r="H69" s="54">
        <v>6661</v>
      </c>
      <c r="I69" s="54">
        <v>5774</v>
      </c>
      <c r="J69" s="54">
        <v>6733</v>
      </c>
      <c r="K69" s="128">
        <v>8437</v>
      </c>
      <c r="L69" s="128">
        <v>8270</v>
      </c>
      <c r="M69">
        <f>SLOPE(H69:L69, $H$68:$L$68)</f>
        <v>-588.1</v>
      </c>
      <c r="N69">
        <f>INTERCEPT(H69:L69, $H$68:$L$68)</f>
        <v>1192196.5</v>
      </c>
      <c r="O69" t="s">
        <v>1004</v>
      </c>
      <c r="Q69" t="s">
        <v>349</v>
      </c>
      <c r="R69" s="216">
        <f t="shared" ref="R69:U75" si="71">$AC69+R$68*$AB69</f>
        <v>10988.59999999986</v>
      </c>
      <c r="S69" s="216">
        <f t="shared" si="71"/>
        <v>10225.799999999814</v>
      </c>
      <c r="T69" s="216">
        <f t="shared" si="71"/>
        <v>9463</v>
      </c>
      <c r="U69" s="216">
        <f t="shared" si="71"/>
        <v>8700.1999999999534</v>
      </c>
      <c r="V69" s="216">
        <f>$AC69+V$68*$AB69</f>
        <v>7937.3999999999069</v>
      </c>
      <c r="W69" s="178">
        <v>7029</v>
      </c>
      <c r="X69" s="178">
        <v>6157</v>
      </c>
      <c r="Y69" s="178">
        <v>6198</v>
      </c>
      <c r="Z69" s="178">
        <v>5135</v>
      </c>
      <c r="AA69" s="178">
        <v>3726</v>
      </c>
      <c r="AB69">
        <f>SLOPE(W69:AA69, $W$68:$AA$68)</f>
        <v>762.8</v>
      </c>
      <c r="AC69">
        <f>INTERCEPT(W69:AA69, $W$68:$AA$68)</f>
        <v>-1531393</v>
      </c>
      <c r="AD69" t="s">
        <v>1004</v>
      </c>
    </row>
    <row r="70" spans="2:30" x14ac:dyDescent="0.25">
      <c r="B70" t="s">
        <v>334</v>
      </c>
      <c r="C70" s="216">
        <f t="shared" si="70"/>
        <v>2527.4999999999854</v>
      </c>
      <c r="D70" s="216">
        <f t="shared" si="70"/>
        <v>2467.1999999999825</v>
      </c>
      <c r="E70" s="216">
        <f t="shared" si="70"/>
        <v>2406.8999999999942</v>
      </c>
      <c r="F70" s="216">
        <f t="shared" si="70"/>
        <v>2346.5999999999913</v>
      </c>
      <c r="G70" s="216">
        <f>$N70+G$68*$M70</f>
        <v>2286.2999999999884</v>
      </c>
      <c r="H70" s="54">
        <v>2292</v>
      </c>
      <c r="I70" s="54">
        <v>2030</v>
      </c>
      <c r="J70" s="54">
        <v>1937</v>
      </c>
      <c r="K70" s="128">
        <v>2525</v>
      </c>
      <c r="L70" s="128">
        <v>1743</v>
      </c>
      <c r="M70">
        <f>SLOPE(H70:L70, $H$68:$L$68)</f>
        <v>60.3</v>
      </c>
      <c r="N70">
        <f t="shared" ref="N70:N75" si="72">INTERCEPT(H70:L70, $H$68:$L$68)</f>
        <v>-119399.1</v>
      </c>
      <c r="O70" t="s">
        <v>1004</v>
      </c>
      <c r="Q70" t="s">
        <v>350</v>
      </c>
      <c r="R70" s="216">
        <f t="shared" si="71"/>
        <v>27.100000000000023</v>
      </c>
      <c r="S70" s="216">
        <f t="shared" si="71"/>
        <v>27.400000000000091</v>
      </c>
      <c r="T70" s="216">
        <f t="shared" si="71"/>
        <v>27.700000000000045</v>
      </c>
      <c r="U70" s="216">
        <f t="shared" si="71"/>
        <v>28.000000000000114</v>
      </c>
      <c r="V70" s="216">
        <f>$AC70+V$68*$AB70</f>
        <v>28.300000000000068</v>
      </c>
      <c r="W70" s="178">
        <v>29</v>
      </c>
      <c r="X70" s="178">
        <v>24</v>
      </c>
      <c r="Y70" s="178">
        <v>31</v>
      </c>
      <c r="Z70" s="178">
        <v>39</v>
      </c>
      <c r="AA70" s="178">
        <v>23</v>
      </c>
      <c r="AB70">
        <f>SLOPE(W70:AA70, $W$68:$AA$68)</f>
        <v>-0.3</v>
      </c>
      <c r="AC70">
        <f>INTERCEPT(W70:AA70, $W$68:$AA$68)</f>
        <v>633.70000000000005</v>
      </c>
      <c r="AD70" t="s">
        <v>1004</v>
      </c>
    </row>
    <row r="71" spans="2:30" x14ac:dyDescent="0.25">
      <c r="B71" s="186" t="s">
        <v>335</v>
      </c>
      <c r="C71" s="246">
        <f t="shared" ref="C71" si="73">SUM(C69:C70)</f>
        <v>5585.800000000032</v>
      </c>
      <c r="D71" s="246">
        <f t="shared" ref="D71" si="74">SUM(D69:D70)</f>
        <v>6113.5999999998894</v>
      </c>
      <c r="E71" s="246">
        <f t="shared" ref="E71" si="75">SUM(E69:E70)</f>
        <v>6641.3999999999942</v>
      </c>
      <c r="F71" s="246">
        <f t="shared" ref="F71" si="76">SUM(F69:F70)</f>
        <v>7169.1999999998516</v>
      </c>
      <c r="G71" s="246">
        <f t="shared" ref="G71" si="77">SUM(G69:G70)</f>
        <v>7696.9999999999418</v>
      </c>
      <c r="H71" s="246">
        <f>SUM(H69:H70)</f>
        <v>8953</v>
      </c>
      <c r="I71" s="246">
        <f t="shared" ref="I71" si="78">SUM(I69:I70)</f>
        <v>7804</v>
      </c>
      <c r="J71" s="246">
        <f t="shared" ref="J71" si="79">SUM(J69:J70)</f>
        <v>8670</v>
      </c>
      <c r="K71" s="246">
        <f t="shared" ref="K71" si="80">SUM(K69:K70)</f>
        <v>10962</v>
      </c>
      <c r="L71" s="246">
        <f t="shared" ref="L71" si="81">SUM(L69:L70)</f>
        <v>10013</v>
      </c>
      <c r="Q71" s="186" t="s">
        <v>335</v>
      </c>
      <c r="R71" s="246">
        <f t="shared" ref="R71" si="82">SUM(R69:R70)</f>
        <v>11015.699999999861</v>
      </c>
      <c r="S71" s="246">
        <f t="shared" ref="S71" si="83">SUM(S69:S70)</f>
        <v>10253.199999999813</v>
      </c>
      <c r="T71" s="246">
        <f t="shared" ref="T71" si="84">SUM(T69:T70)</f>
        <v>9490.7000000000007</v>
      </c>
      <c r="U71" s="246">
        <f t="shared" ref="U71" si="85">SUM(U69:U70)</f>
        <v>8728.1999999999534</v>
      </c>
      <c r="V71" s="246">
        <f t="shared" ref="V71" si="86">SUM(V69:V70)</f>
        <v>7965.699999999907</v>
      </c>
      <c r="W71" s="246">
        <f>SUM(W69:W70)</f>
        <v>7058</v>
      </c>
      <c r="X71" s="246">
        <f t="shared" ref="X71" si="87">SUM(X69:X70)</f>
        <v>6181</v>
      </c>
      <c r="Y71" s="246">
        <f t="shared" ref="Y71" si="88">SUM(Y69:Y70)</f>
        <v>6229</v>
      </c>
      <c r="Z71" s="246">
        <f t="shared" ref="Z71" si="89">SUM(Z69:Z70)</f>
        <v>5174</v>
      </c>
      <c r="AA71" s="246">
        <f t="shared" ref="AA71" si="90">SUM(AA69:AA70)</f>
        <v>3749</v>
      </c>
    </row>
    <row r="72" spans="2:30" x14ac:dyDescent="0.25">
      <c r="B72" t="s">
        <v>336</v>
      </c>
      <c r="C72" s="216">
        <f>$N72+C$68*$M72</f>
        <v>129</v>
      </c>
      <c r="D72" s="216">
        <f t="shared" si="70"/>
        <v>137.60000000000218</v>
      </c>
      <c r="E72" s="216">
        <f t="shared" si="70"/>
        <v>146.20000000000073</v>
      </c>
      <c r="F72" s="216">
        <f t="shared" si="70"/>
        <v>154.80000000000291</v>
      </c>
      <c r="G72" s="216">
        <f>$N72+G$68*$M72</f>
        <v>163.40000000000146</v>
      </c>
      <c r="H72" s="54">
        <v>184</v>
      </c>
      <c r="I72" s="54">
        <v>163</v>
      </c>
      <c r="J72" s="54">
        <v>187</v>
      </c>
      <c r="K72" s="128">
        <v>207</v>
      </c>
      <c r="L72" s="128">
        <v>205</v>
      </c>
      <c r="M72">
        <f t="shared" ref="M72:M75" si="91">SLOPE(H72:L72, $H$68:$L$68)</f>
        <v>-8.6</v>
      </c>
      <c r="N72">
        <f t="shared" si="72"/>
        <v>17518.2</v>
      </c>
      <c r="O72" t="s">
        <v>1004</v>
      </c>
      <c r="Q72" t="s">
        <v>336</v>
      </c>
      <c r="R72" s="216">
        <f t="shared" si="71"/>
        <v>203.20000000000073</v>
      </c>
      <c r="S72" s="216">
        <f t="shared" si="71"/>
        <v>187.80000000000291</v>
      </c>
      <c r="T72" s="216">
        <f t="shared" si="71"/>
        <v>172.40000000000146</v>
      </c>
      <c r="U72" s="216">
        <f t="shared" si="71"/>
        <v>157.00000000000364</v>
      </c>
      <c r="V72" s="216">
        <f>$AC72+V$68*$AB72</f>
        <v>141.60000000000218</v>
      </c>
      <c r="W72" s="178">
        <v>116</v>
      </c>
      <c r="X72" s="178">
        <v>116</v>
      </c>
      <c r="Y72" s="178">
        <v>105</v>
      </c>
      <c r="Z72" s="178">
        <v>86</v>
      </c>
      <c r="AA72" s="178">
        <v>54</v>
      </c>
      <c r="AB72">
        <f t="shared" ref="AB72:AB75" si="92">SLOPE(W72:AA72, $W$68:$AA$68)</f>
        <v>15.4</v>
      </c>
      <c r="AC72">
        <f t="shared" ref="AC72:AC75" si="93">INTERCEPT(W72:AA72, $W$68:$AA$68)</f>
        <v>-30935.599999999999</v>
      </c>
      <c r="AD72" t="s">
        <v>1004</v>
      </c>
    </row>
    <row r="73" spans="2:30" x14ac:dyDescent="0.25">
      <c r="B73" t="s">
        <v>291</v>
      </c>
      <c r="C73" s="216">
        <f>$N73+C$68*$M73</f>
        <v>-15.80000000000291</v>
      </c>
      <c r="D73" s="216">
        <f t="shared" si="70"/>
        <v>32.799999999988358</v>
      </c>
      <c r="E73" s="216">
        <f t="shared" si="70"/>
        <v>81.399999999994179</v>
      </c>
      <c r="F73" s="216">
        <f t="shared" si="70"/>
        <v>129.99999999998545</v>
      </c>
      <c r="G73" s="216">
        <f>$N73+G$68*$M73</f>
        <v>178.59999999999127</v>
      </c>
      <c r="H73" s="54">
        <v>279</v>
      </c>
      <c r="I73" s="54">
        <v>226</v>
      </c>
      <c r="J73" s="54">
        <v>263</v>
      </c>
      <c r="K73" s="128">
        <v>438</v>
      </c>
      <c r="L73" s="128">
        <v>416</v>
      </c>
      <c r="M73">
        <f t="shared" si="91"/>
        <v>-48.6</v>
      </c>
      <c r="N73">
        <f t="shared" si="72"/>
        <v>98253.4</v>
      </c>
      <c r="O73" t="s">
        <v>1004</v>
      </c>
      <c r="Q73" t="s">
        <v>291</v>
      </c>
      <c r="R73" s="216">
        <f t="shared" si="71"/>
        <v>32.399999999999636</v>
      </c>
      <c r="S73" s="216">
        <f t="shared" si="71"/>
        <v>29.399999999999636</v>
      </c>
      <c r="T73" s="216">
        <f t="shared" si="71"/>
        <v>26.399999999999636</v>
      </c>
      <c r="U73" s="216">
        <f t="shared" si="71"/>
        <v>23.399999999999636</v>
      </c>
      <c r="V73" s="216">
        <f>$AC73+V$68*$AB73</f>
        <v>20.399999999999636</v>
      </c>
      <c r="W73" s="178">
        <v>19</v>
      </c>
      <c r="X73" s="178">
        <v>13</v>
      </c>
      <c r="Y73" s="178">
        <v>10</v>
      </c>
      <c r="Z73" s="178">
        <v>9</v>
      </c>
      <c r="AA73" s="178">
        <v>6</v>
      </c>
      <c r="AB73">
        <f t="shared" si="92"/>
        <v>2.9999999999999996</v>
      </c>
      <c r="AC73">
        <f t="shared" si="93"/>
        <v>-6033.5999999999995</v>
      </c>
      <c r="AD73" t="s">
        <v>1004</v>
      </c>
    </row>
    <row r="74" spans="2:30" x14ac:dyDescent="0.25">
      <c r="B74" t="s">
        <v>292</v>
      </c>
      <c r="C74" s="216">
        <f>$N74+C$68*$M74</f>
        <v>276.09999999999854</v>
      </c>
      <c r="D74" s="216">
        <f t="shared" si="70"/>
        <v>259.39999999999418</v>
      </c>
      <c r="E74" s="216">
        <f t="shared" si="70"/>
        <v>242.69999999999709</v>
      </c>
      <c r="F74" s="216">
        <f t="shared" si="70"/>
        <v>225.99999999999272</v>
      </c>
      <c r="G74" s="216">
        <f>$N74+G$68*$M74</f>
        <v>209.29999999999563</v>
      </c>
      <c r="H74" s="54">
        <v>219</v>
      </c>
      <c r="I74" s="54">
        <v>148</v>
      </c>
      <c r="J74" s="54">
        <v>146</v>
      </c>
      <c r="K74" s="128">
        <v>147</v>
      </c>
      <c r="L74" s="128">
        <v>136</v>
      </c>
      <c r="M74">
        <f t="shared" si="91"/>
        <v>16.7</v>
      </c>
      <c r="N74">
        <f t="shared" si="72"/>
        <v>-33491.300000000003</v>
      </c>
      <c r="O74" t="s">
        <v>1004</v>
      </c>
      <c r="Q74" t="s">
        <v>292</v>
      </c>
      <c r="R74" s="216">
        <f t="shared" si="71"/>
        <v>-123</v>
      </c>
      <c r="S74" s="216">
        <f t="shared" si="71"/>
        <v>-91</v>
      </c>
      <c r="T74" s="216">
        <f t="shared" si="71"/>
        <v>-59</v>
      </c>
      <c r="U74" s="216">
        <f t="shared" si="71"/>
        <v>-27</v>
      </c>
      <c r="V74" s="216">
        <f>$AC74+V$68*$AB74</f>
        <v>5</v>
      </c>
      <c r="W74" s="178">
        <v>44</v>
      </c>
      <c r="X74" s="178">
        <v>70</v>
      </c>
      <c r="Y74" s="178">
        <v>78</v>
      </c>
      <c r="Z74" s="178">
        <v>148</v>
      </c>
      <c r="AA74" s="178">
        <v>165</v>
      </c>
      <c r="AB74">
        <f t="shared" si="92"/>
        <v>-32</v>
      </c>
      <c r="AC74">
        <f t="shared" si="93"/>
        <v>64581</v>
      </c>
      <c r="AD74" t="s">
        <v>1004</v>
      </c>
    </row>
    <row r="75" spans="2:30" x14ac:dyDescent="0.25">
      <c r="B75" t="s">
        <v>310</v>
      </c>
      <c r="C75" s="216">
        <f>$N75+C$68*$M75</f>
        <v>-4.4000000000005457</v>
      </c>
      <c r="D75" s="216">
        <f t="shared" si="70"/>
        <v>-2.2000000000007276</v>
      </c>
      <c r="E75" s="216">
        <f t="shared" si="70"/>
        <v>0</v>
      </c>
      <c r="F75" s="216">
        <f t="shared" si="70"/>
        <v>2.1999999999998181</v>
      </c>
      <c r="G75" s="216">
        <f>$N75+G$68*$M75</f>
        <v>4.3999999999996362</v>
      </c>
      <c r="H75" s="54">
        <v>6</v>
      </c>
      <c r="I75" s="54">
        <v>10</v>
      </c>
      <c r="J75" s="54">
        <v>11</v>
      </c>
      <c r="K75" s="128">
        <v>12</v>
      </c>
      <c r="L75" s="128">
        <v>16</v>
      </c>
      <c r="M75">
        <f t="shared" si="91"/>
        <v>-2.2000000000000002</v>
      </c>
      <c r="N75">
        <f t="shared" si="72"/>
        <v>4444</v>
      </c>
      <c r="O75" t="s">
        <v>1004</v>
      </c>
      <c r="Q75" t="s">
        <v>310</v>
      </c>
      <c r="R75" s="216">
        <f t="shared" si="71"/>
        <v>9.6000000000001364</v>
      </c>
      <c r="S75" s="216">
        <f t="shared" si="71"/>
        <v>8.8000000000001819</v>
      </c>
      <c r="T75" s="216">
        <f t="shared" si="71"/>
        <v>8</v>
      </c>
      <c r="U75" s="216">
        <f t="shared" si="71"/>
        <v>7.2000000000000455</v>
      </c>
      <c r="V75" s="216">
        <f>$AC75+V$68*$AB75</f>
        <v>6.4000000000000909</v>
      </c>
      <c r="W75" s="178">
        <v>6</v>
      </c>
      <c r="X75" s="178">
        <v>4</v>
      </c>
      <c r="Y75" s="178">
        <v>4</v>
      </c>
      <c r="Z75" s="178">
        <v>4</v>
      </c>
      <c r="AA75" s="178">
        <v>2</v>
      </c>
      <c r="AB75">
        <f t="shared" si="92"/>
        <v>0.8</v>
      </c>
      <c r="AC75">
        <f t="shared" si="93"/>
        <v>-1608</v>
      </c>
      <c r="AD75" t="s">
        <v>1004</v>
      </c>
    </row>
    <row r="76" spans="2:30" x14ac:dyDescent="0.25">
      <c r="B76" t="s">
        <v>337</v>
      </c>
      <c r="C76" s="216">
        <f t="shared" ref="C76:G78" si="94">$M76</f>
        <v>0</v>
      </c>
      <c r="D76" s="216">
        <f t="shared" si="94"/>
        <v>0</v>
      </c>
      <c r="E76" s="216">
        <f t="shared" si="94"/>
        <v>0</v>
      </c>
      <c r="F76" s="216">
        <f t="shared" si="94"/>
        <v>0</v>
      </c>
      <c r="G76" s="216">
        <f>$M76</f>
        <v>0</v>
      </c>
      <c r="H76" s="54">
        <v>5</v>
      </c>
      <c r="I76" s="54">
        <v>138</v>
      </c>
      <c r="J76" s="54">
        <v>60</v>
      </c>
      <c r="K76" s="128">
        <v>0</v>
      </c>
      <c r="L76" s="128">
        <v>0</v>
      </c>
      <c r="M76">
        <v>0</v>
      </c>
      <c r="O76" t="s">
        <v>1037</v>
      </c>
      <c r="Q76" s="212" t="s">
        <v>337</v>
      </c>
      <c r="R76" s="216">
        <f t="shared" ref="R76:V78" si="95">$AB76</f>
        <v>0</v>
      </c>
      <c r="S76" s="216">
        <f t="shared" si="95"/>
        <v>0</v>
      </c>
      <c r="T76" s="216">
        <f t="shared" si="95"/>
        <v>0</v>
      </c>
      <c r="U76" s="216">
        <f t="shared" si="95"/>
        <v>0</v>
      </c>
      <c r="V76" s="216">
        <f>$AB76</f>
        <v>0</v>
      </c>
      <c r="AB76">
        <v>0</v>
      </c>
      <c r="AD76" t="s">
        <v>1037</v>
      </c>
    </row>
    <row r="77" spans="2:30" x14ac:dyDescent="0.25">
      <c r="B77" t="s">
        <v>306</v>
      </c>
      <c r="C77" s="216">
        <f t="shared" si="94"/>
        <v>0</v>
      </c>
      <c r="D77" s="216">
        <f t="shared" si="94"/>
        <v>0</v>
      </c>
      <c r="E77" s="216">
        <f t="shared" si="94"/>
        <v>0</v>
      </c>
      <c r="F77" s="216">
        <f t="shared" si="94"/>
        <v>0</v>
      </c>
      <c r="G77" s="216">
        <f t="shared" si="94"/>
        <v>0</v>
      </c>
      <c r="H77" s="54"/>
      <c r="I77" s="54"/>
      <c r="J77" s="54">
        <v>202</v>
      </c>
      <c r="K77" s="128">
        <v>0</v>
      </c>
      <c r="L77" s="128">
        <v>0</v>
      </c>
      <c r="M77" s="16">
        <v>0</v>
      </c>
      <c r="O77" t="s">
        <v>1037</v>
      </c>
      <c r="Q77" s="212" t="s">
        <v>306</v>
      </c>
      <c r="R77" s="216">
        <f t="shared" si="95"/>
        <v>0</v>
      </c>
      <c r="S77" s="216">
        <f t="shared" si="95"/>
        <v>0</v>
      </c>
      <c r="T77" s="216">
        <f t="shared" si="95"/>
        <v>0</v>
      </c>
      <c r="U77" s="216">
        <f t="shared" si="95"/>
        <v>0</v>
      </c>
      <c r="V77" s="216">
        <f t="shared" si="95"/>
        <v>0</v>
      </c>
      <c r="W77" s="178"/>
      <c r="X77" s="178"/>
      <c r="Y77" s="178"/>
      <c r="Z77" s="178"/>
      <c r="AA77" s="178"/>
      <c r="AB77" s="16">
        <v>0</v>
      </c>
      <c r="AD77" t="s">
        <v>1037</v>
      </c>
    </row>
    <row r="78" spans="2:30" x14ac:dyDescent="0.25">
      <c r="B78" t="s">
        <v>307</v>
      </c>
      <c r="C78" s="216">
        <f t="shared" si="94"/>
        <v>0</v>
      </c>
      <c r="D78" s="216">
        <f t="shared" si="94"/>
        <v>0</v>
      </c>
      <c r="E78" s="216">
        <f t="shared" si="94"/>
        <v>0</v>
      </c>
      <c r="F78" s="216">
        <f t="shared" si="94"/>
        <v>0</v>
      </c>
      <c r="G78" s="216">
        <f t="shared" si="94"/>
        <v>0</v>
      </c>
      <c r="H78" s="54"/>
      <c r="I78" s="54"/>
      <c r="J78" s="54">
        <f>17</f>
        <v>17</v>
      </c>
      <c r="L78" t="s">
        <v>282</v>
      </c>
      <c r="M78" s="16">
        <v>0</v>
      </c>
      <c r="O78" t="s">
        <v>1037</v>
      </c>
      <c r="Q78" t="s">
        <v>307</v>
      </c>
      <c r="R78" s="216">
        <f t="shared" si="95"/>
        <v>0</v>
      </c>
      <c r="S78" s="216">
        <f t="shared" si="95"/>
        <v>0</v>
      </c>
      <c r="T78" s="216">
        <f t="shared" si="95"/>
        <v>0</v>
      </c>
      <c r="U78" s="216">
        <f t="shared" si="95"/>
        <v>0</v>
      </c>
      <c r="V78" s="216">
        <f t="shared" si="95"/>
        <v>0</v>
      </c>
      <c r="W78" s="178">
        <v>0</v>
      </c>
      <c r="X78" s="178">
        <v>0</v>
      </c>
      <c r="Y78" s="178">
        <v>23</v>
      </c>
      <c r="Z78" s="178">
        <v>0</v>
      </c>
      <c r="AA78" s="178">
        <v>0</v>
      </c>
      <c r="AB78" s="16">
        <v>0</v>
      </c>
      <c r="AD78" t="s">
        <v>1037</v>
      </c>
    </row>
    <row r="79" spans="2:30" x14ac:dyDescent="0.25">
      <c r="C79" s="246"/>
      <c r="D79" s="246"/>
      <c r="E79" s="246"/>
      <c r="F79" s="246"/>
      <c r="G79" s="246"/>
      <c r="H79" s="216"/>
      <c r="I79" s="216"/>
      <c r="J79" s="216"/>
      <c r="K79" s="216"/>
      <c r="L79" s="216"/>
      <c r="R79" s="246"/>
      <c r="S79" s="246"/>
      <c r="T79" s="246"/>
      <c r="U79" s="246"/>
      <c r="V79" s="246"/>
    </row>
    <row r="80" spans="2:30" x14ac:dyDescent="0.25">
      <c r="B80" t="s">
        <v>854</v>
      </c>
      <c r="C80" s="216">
        <f t="shared" ref="C80:G80" si="96">$N80+C$68*$M80</f>
        <v>2358.6999999999534</v>
      </c>
      <c r="D80" s="216">
        <f t="shared" si="96"/>
        <v>2940.6000000000931</v>
      </c>
      <c r="E80" s="216">
        <f t="shared" si="96"/>
        <v>3522.5</v>
      </c>
      <c r="F80" s="216">
        <f t="shared" si="96"/>
        <v>4104.4000000001397</v>
      </c>
      <c r="G80" s="216">
        <f t="shared" si="96"/>
        <v>4686.3000000000466</v>
      </c>
      <c r="H80" s="178">
        <f>H81-H83</f>
        <v>5768</v>
      </c>
      <c r="I80" s="178">
        <f t="shared" ref="I80:L80" si="97">I81-I83</f>
        <v>5166</v>
      </c>
      <c r="J80" s="178">
        <f t="shared" si="97"/>
        <v>6214</v>
      </c>
      <c r="K80" s="178">
        <f t="shared" si="97"/>
        <v>7503</v>
      </c>
      <c r="L80" s="178">
        <f t="shared" si="97"/>
        <v>7509</v>
      </c>
      <c r="M80">
        <f t="shared" ref="M80" si="98">SLOPE(H80:L80, $H$68:$L$68)</f>
        <v>-581.9</v>
      </c>
      <c r="N80">
        <f t="shared" ref="N80" si="99">INTERCEPT(H80:L80, $H$68:$L$68)</f>
        <v>1178960.5</v>
      </c>
      <c r="O80" t="s">
        <v>1004</v>
      </c>
      <c r="Q80" t="s">
        <v>854</v>
      </c>
      <c r="R80" s="216">
        <f t="shared" ref="R80:V80" si="100">$AC80+R$68*$AB80</f>
        <v>10504.300000000047</v>
      </c>
      <c r="S80" s="216">
        <f t="shared" si="100"/>
        <v>9764.6000000000931</v>
      </c>
      <c r="T80" s="216">
        <f t="shared" si="100"/>
        <v>9024.8999999999069</v>
      </c>
      <c r="U80" s="216">
        <f t="shared" si="100"/>
        <v>8285.1999999999534</v>
      </c>
      <c r="V80" s="216">
        <f t="shared" si="100"/>
        <v>7545.5</v>
      </c>
      <c r="W80" s="178">
        <f>W81-W83</f>
        <v>6676</v>
      </c>
      <c r="X80" s="178">
        <f t="shared" ref="X80:AA80" si="101">X81-X83</f>
        <v>5822</v>
      </c>
      <c r="Y80" s="178">
        <f t="shared" si="101"/>
        <v>5854</v>
      </c>
      <c r="Z80" s="178">
        <f t="shared" si="101"/>
        <v>4783</v>
      </c>
      <c r="AA80" s="178">
        <f t="shared" si="101"/>
        <v>3497</v>
      </c>
      <c r="AB80">
        <f>SLOPE(W80:AA80, $W$68:$AA$68)</f>
        <v>739.7</v>
      </c>
      <c r="AC80">
        <f>INTERCEPT(W80:AA80, $W$68:$AA$68)</f>
        <v>-1485169.1</v>
      </c>
      <c r="AD80" t="s">
        <v>1004</v>
      </c>
    </row>
    <row r="81" spans="2:30" x14ac:dyDescent="0.25">
      <c r="B81" t="s">
        <v>942</v>
      </c>
      <c r="C81" s="216">
        <f t="shared" ref="C81:G81" si="102">C69+C73-C74+C75</f>
        <v>2762.0000000000446</v>
      </c>
      <c r="D81" s="216">
        <f t="shared" si="102"/>
        <v>3417.5999999999003</v>
      </c>
      <c r="E81" s="216">
        <f t="shared" si="102"/>
        <v>4073.1999999999971</v>
      </c>
      <c r="F81" s="216">
        <f t="shared" si="102"/>
        <v>4728.7999999998528</v>
      </c>
      <c r="G81" s="216">
        <f t="shared" si="102"/>
        <v>5384.3999999999487</v>
      </c>
      <c r="H81" s="216">
        <f>H69+H73-H74+H75</f>
        <v>6727</v>
      </c>
      <c r="I81" s="178">
        <f>I69+I73-I74</f>
        <v>5852</v>
      </c>
      <c r="J81" s="178">
        <f>J69+J73-J74</f>
        <v>6850</v>
      </c>
      <c r="K81" s="178">
        <f>K69+K73-K74</f>
        <v>8728</v>
      </c>
      <c r="L81" s="178">
        <f>L69+L73-L74</f>
        <v>8550</v>
      </c>
      <c r="Q81" t="s">
        <v>942</v>
      </c>
      <c r="R81" s="216">
        <f t="shared" ref="R81:V81" si="103">R69+R73-R74+R75</f>
        <v>11153.59999999986</v>
      </c>
      <c r="S81" s="216">
        <f t="shared" si="103"/>
        <v>10354.999999999814</v>
      </c>
      <c r="T81" s="216">
        <f t="shared" si="103"/>
        <v>9556.4</v>
      </c>
      <c r="U81" s="216">
        <f t="shared" si="103"/>
        <v>8757.7999999999538</v>
      </c>
      <c r="V81" s="216">
        <f t="shared" si="103"/>
        <v>7959.1999999999061</v>
      </c>
      <c r="W81" s="178">
        <f>W69-W73+W74+W75</f>
        <v>7060</v>
      </c>
      <c r="X81" s="178">
        <f>X69-X73+X74</f>
        <v>6214</v>
      </c>
      <c r="Y81" s="178">
        <f>Y69-Y73+Y74</f>
        <v>6266</v>
      </c>
      <c r="Z81" s="178">
        <f>Z69-Z73+Z74</f>
        <v>5274</v>
      </c>
      <c r="AA81" s="178">
        <f>AA69-AA73+AA74</f>
        <v>3885</v>
      </c>
    </row>
    <row r="82" spans="2:30" x14ac:dyDescent="0.25">
      <c r="C82" s="246"/>
      <c r="D82" s="246"/>
      <c r="E82" s="246"/>
      <c r="F82" s="246"/>
      <c r="G82" s="246"/>
      <c r="H82" s="178"/>
      <c r="I82" s="178"/>
      <c r="J82" s="178"/>
      <c r="K82" s="178"/>
      <c r="L82" s="178"/>
      <c r="W82" s="178"/>
      <c r="X82" s="178"/>
      <c r="Y82" s="178"/>
      <c r="Z82" s="178"/>
      <c r="AA82" s="178"/>
    </row>
    <row r="83" spans="2:30" x14ac:dyDescent="0.25">
      <c r="B83" t="s">
        <v>338</v>
      </c>
      <c r="C83" s="216">
        <f t="shared" ref="C83:F83" si="104">C81-C80</f>
        <v>403.30000000009113</v>
      </c>
      <c r="D83" s="216">
        <f t="shared" si="104"/>
        <v>476.99999999980719</v>
      </c>
      <c r="E83" s="216">
        <f t="shared" si="104"/>
        <v>550.69999999999709</v>
      </c>
      <c r="F83" s="216">
        <f t="shared" si="104"/>
        <v>624.39999999971315</v>
      </c>
      <c r="G83" s="216">
        <f>G81-G80</f>
        <v>698.09999999990214</v>
      </c>
      <c r="H83" s="178">
        <v>959</v>
      </c>
      <c r="I83" s="178">
        <v>686</v>
      </c>
      <c r="J83" s="178">
        <v>636</v>
      </c>
      <c r="K83" s="178">
        <v>1225</v>
      </c>
      <c r="L83" s="178">
        <v>1041</v>
      </c>
      <c r="Q83" t="s">
        <v>351</v>
      </c>
      <c r="R83" s="216">
        <f t="shared" ref="R83:U83" si="105">R81-R80</f>
        <v>649.29999999981374</v>
      </c>
      <c r="S83" s="216">
        <f t="shared" si="105"/>
        <v>590.39999999972133</v>
      </c>
      <c r="T83" s="216">
        <f t="shared" si="105"/>
        <v>531.50000000009277</v>
      </c>
      <c r="U83" s="216">
        <f t="shared" si="105"/>
        <v>472.60000000000036</v>
      </c>
      <c r="V83" s="216">
        <f>V81-V80</f>
        <v>413.69999999990614</v>
      </c>
      <c r="W83" s="178">
        <v>384</v>
      </c>
      <c r="X83" s="178">
        <v>392</v>
      </c>
      <c r="Y83" s="178">
        <v>412</v>
      </c>
      <c r="Z83" s="178">
        <v>491</v>
      </c>
      <c r="AA83" s="178">
        <v>388</v>
      </c>
    </row>
    <row r="84" spans="2:30" x14ac:dyDescent="0.25">
      <c r="B84" t="s">
        <v>339</v>
      </c>
      <c r="C84" s="87"/>
      <c r="D84" s="87"/>
      <c r="E84" s="87"/>
      <c r="F84" s="87"/>
      <c r="G84" s="87"/>
      <c r="H84" s="87">
        <f>H83/H71</f>
        <v>0.10711493354182955</v>
      </c>
      <c r="I84" s="87">
        <f>I83/I71</f>
        <v>8.7903639159405439E-2</v>
      </c>
      <c r="J84" s="87">
        <f>J83/J71</f>
        <v>7.3356401384083045E-2</v>
      </c>
      <c r="K84" s="87">
        <f>K83/K71</f>
        <v>0.11174968071519796</v>
      </c>
      <c r="L84" s="87">
        <f>L83/L71</f>
        <v>0.10396484570058924</v>
      </c>
      <c r="Q84" t="s">
        <v>339</v>
      </c>
      <c r="W84" s="87">
        <f>W83/W71</f>
        <v>5.4406347407197506E-2</v>
      </c>
      <c r="X84" s="87">
        <f>X83/X71</f>
        <v>6.3420158550396372E-2</v>
      </c>
      <c r="Y84" s="87">
        <f>Y83/Y71</f>
        <v>6.6142237919409208E-2</v>
      </c>
      <c r="Z84" s="87">
        <f>Z83/Z71</f>
        <v>9.4897564746810978E-2</v>
      </c>
      <c r="AA84" s="87">
        <f>AA83/AA71</f>
        <v>0.10349426513736996</v>
      </c>
    </row>
    <row r="85" spans="2:30" x14ac:dyDescent="0.25">
      <c r="C85" s="246"/>
      <c r="D85" s="246"/>
      <c r="E85" s="246"/>
      <c r="F85" s="246"/>
      <c r="G85" s="246"/>
      <c r="H85" s="178"/>
      <c r="I85" s="178"/>
      <c r="J85" s="178"/>
      <c r="K85" s="178"/>
      <c r="L85" s="178"/>
    </row>
    <row r="87" spans="2:30" x14ac:dyDescent="0.25">
      <c r="B87" s="1" t="s">
        <v>220</v>
      </c>
      <c r="C87" s="246"/>
      <c r="D87" s="246"/>
      <c r="E87" s="246"/>
      <c r="F87" s="246"/>
      <c r="G87" s="246"/>
      <c r="H87" s="178"/>
      <c r="I87" s="178"/>
      <c r="J87" s="178"/>
      <c r="K87" s="178"/>
      <c r="L87" s="178"/>
      <c r="Q87" s="1" t="s">
        <v>222</v>
      </c>
      <c r="W87" s="178"/>
      <c r="X87" s="178"/>
      <c r="Y87" s="178"/>
      <c r="Z87" s="178"/>
      <c r="AA87" s="178"/>
    </row>
    <row r="88" spans="2:30" x14ac:dyDescent="0.25">
      <c r="C88" s="246"/>
      <c r="D88" s="246"/>
      <c r="E88" s="246"/>
      <c r="F88" s="246"/>
      <c r="G88" s="246"/>
      <c r="H88" s="178"/>
      <c r="I88" s="178"/>
      <c r="J88" s="178"/>
      <c r="K88" s="178"/>
      <c r="L88" s="178"/>
    </row>
    <row r="89" spans="2:30" x14ac:dyDescent="0.25">
      <c r="B89" t="s">
        <v>295</v>
      </c>
      <c r="C89" s="246">
        <v>2022</v>
      </c>
      <c r="D89" s="246">
        <v>2021</v>
      </c>
      <c r="E89" s="246">
        <v>2020</v>
      </c>
      <c r="F89" s="246">
        <v>2019</v>
      </c>
      <c r="G89" s="246">
        <v>2018</v>
      </c>
      <c r="H89" s="178">
        <v>2017</v>
      </c>
      <c r="I89" s="178">
        <v>2016</v>
      </c>
      <c r="J89" s="178">
        <v>2015</v>
      </c>
      <c r="K89" s="178">
        <v>2014</v>
      </c>
      <c r="L89" s="178">
        <v>2013</v>
      </c>
      <c r="Q89" t="s">
        <v>295</v>
      </c>
      <c r="R89" s="246">
        <v>2022</v>
      </c>
      <c r="S89" s="246">
        <v>2021</v>
      </c>
      <c r="T89" s="246">
        <v>2020</v>
      </c>
      <c r="U89" s="246">
        <v>2019</v>
      </c>
      <c r="V89" s="246">
        <v>2018</v>
      </c>
      <c r="W89" s="178">
        <v>2017</v>
      </c>
      <c r="X89" s="178">
        <v>2016</v>
      </c>
      <c r="Y89" s="178">
        <v>2015</v>
      </c>
      <c r="Z89" s="178">
        <v>2014</v>
      </c>
      <c r="AA89" s="178">
        <v>2013</v>
      </c>
    </row>
    <row r="90" spans="2:30" x14ac:dyDescent="0.25">
      <c r="B90" t="s">
        <v>333</v>
      </c>
      <c r="C90" s="216">
        <f t="shared" ref="C90:G96" si="106">$N90+C$68*$M90</f>
        <v>5215.6999999999534</v>
      </c>
      <c r="D90" s="216">
        <f t="shared" si="106"/>
        <v>5000.9999999999418</v>
      </c>
      <c r="E90" s="216">
        <f t="shared" si="106"/>
        <v>4786.2999999999884</v>
      </c>
      <c r="F90" s="216">
        <f t="shared" si="106"/>
        <v>4571.5999999999767</v>
      </c>
      <c r="G90" s="216">
        <f t="shared" si="106"/>
        <v>4356.8999999999651</v>
      </c>
      <c r="H90" s="178">
        <v>4363</v>
      </c>
      <c r="I90" s="178">
        <v>3514</v>
      </c>
      <c r="J90" s="178">
        <v>3745</v>
      </c>
      <c r="K90" s="178">
        <v>3791</v>
      </c>
      <c r="L90" s="178">
        <v>3151</v>
      </c>
      <c r="M90">
        <f>SLOPE(H90:L90, $H$68:$L$68)</f>
        <v>214.7</v>
      </c>
      <c r="N90">
        <f>INTERCEPT(H90:L90, $H$68:$L$68)</f>
        <v>-428907.7</v>
      </c>
      <c r="O90" t="s">
        <v>1004</v>
      </c>
      <c r="Q90" t="s">
        <v>333</v>
      </c>
      <c r="R90" s="216">
        <f t="shared" ref="R90:U96" si="107">$AC90+R$68*$AB90</f>
        <v>2630.5999999999913</v>
      </c>
      <c r="S90" s="216">
        <f t="shared" si="107"/>
        <v>2565.7999999999884</v>
      </c>
      <c r="T90" s="216">
        <f t="shared" si="107"/>
        <v>2501</v>
      </c>
      <c r="U90" s="216">
        <f t="shared" si="107"/>
        <v>2436.1999999999971</v>
      </c>
      <c r="V90" s="216">
        <f>$AC90+V$68*$AB90</f>
        <v>2371.3999999999942</v>
      </c>
      <c r="W90" s="178">
        <v>2375</v>
      </c>
      <c r="X90" s="178">
        <v>2064</v>
      </c>
      <c r="Y90" s="178">
        <v>2434</v>
      </c>
      <c r="Z90" s="178">
        <v>1858</v>
      </c>
      <c r="AA90" s="178">
        <v>2154</v>
      </c>
      <c r="AB90">
        <f>SLOPE(W90:AA90, $W$68:$AA$68)</f>
        <v>64.8</v>
      </c>
      <c r="AC90">
        <f>INTERCEPT(W90:AA90, $W$68:$AA$68)</f>
        <v>-128395</v>
      </c>
      <c r="AD90" t="s">
        <v>1004</v>
      </c>
    </row>
    <row r="91" spans="2:30" x14ac:dyDescent="0.25">
      <c r="B91" t="s">
        <v>334</v>
      </c>
      <c r="C91" s="216">
        <f t="shared" si="106"/>
        <v>1824.1000000000058</v>
      </c>
      <c r="D91" s="216">
        <f t="shared" si="106"/>
        <v>1757.6000000000058</v>
      </c>
      <c r="E91" s="216">
        <f t="shared" si="106"/>
        <v>1691.1000000000058</v>
      </c>
      <c r="F91" s="216">
        <f t="shared" si="106"/>
        <v>1624.6000000000058</v>
      </c>
      <c r="G91" s="216">
        <f t="shared" si="106"/>
        <v>1558.1000000000058</v>
      </c>
      <c r="H91" s="178">
        <v>1526</v>
      </c>
      <c r="I91" s="178">
        <v>1322</v>
      </c>
      <c r="J91" s="178">
        <v>1427</v>
      </c>
      <c r="K91" s="178">
        <v>1327</v>
      </c>
      <c r="L91" s="178">
        <v>1191</v>
      </c>
      <c r="M91">
        <f>SLOPE(H91:L91, $H$68:$L$68)</f>
        <v>66.5</v>
      </c>
      <c r="N91">
        <f t="shared" ref="N91" si="108">INTERCEPT(H91:L91, $H$68:$L$68)</f>
        <v>-132638.9</v>
      </c>
      <c r="O91" t="s">
        <v>1004</v>
      </c>
      <c r="Q91" t="s">
        <v>334</v>
      </c>
      <c r="R91" s="216">
        <f t="shared" si="107"/>
        <v>2755.6999999999534</v>
      </c>
      <c r="S91" s="216">
        <f>$AC91+S$68*$AB91</f>
        <v>2552.9999999999418</v>
      </c>
      <c r="T91" s="216">
        <f t="shared" si="107"/>
        <v>2350.2999999999884</v>
      </c>
      <c r="U91" s="216">
        <f t="shared" si="107"/>
        <v>2147.5999999999767</v>
      </c>
      <c r="V91" s="216">
        <f>$AC91+V$68*$AB91</f>
        <v>1944.8999999999651</v>
      </c>
      <c r="W91" s="178">
        <v>1683</v>
      </c>
      <c r="X91" s="178">
        <v>1453</v>
      </c>
      <c r="Y91" s="178">
        <v>1633</v>
      </c>
      <c r="Z91" s="178">
        <v>1038</v>
      </c>
      <c r="AA91" s="178">
        <v>877</v>
      </c>
      <c r="AB91">
        <f>SLOPE(W91:AA91, $W$68:$AA$68)</f>
        <v>202.7</v>
      </c>
      <c r="AC91">
        <f>INTERCEPT(W91:AA91, $W$68:$AA$68)</f>
        <v>-407103.7</v>
      </c>
      <c r="AD91" t="s">
        <v>1004</v>
      </c>
    </row>
    <row r="92" spans="2:30" x14ac:dyDescent="0.25">
      <c r="B92" s="186" t="s">
        <v>335</v>
      </c>
      <c r="C92" s="246">
        <f t="shared" ref="C92:G92" si="109">SUM(C90:C91)</f>
        <v>7039.7999999999593</v>
      </c>
      <c r="D92" s="246">
        <f t="shared" si="109"/>
        <v>6758.5999999999476</v>
      </c>
      <c r="E92" s="246">
        <f t="shared" si="109"/>
        <v>6477.3999999999942</v>
      </c>
      <c r="F92" s="246">
        <f t="shared" si="109"/>
        <v>6196.1999999999825</v>
      </c>
      <c r="G92" s="246">
        <f t="shared" si="109"/>
        <v>5914.9999999999709</v>
      </c>
      <c r="H92" s="178">
        <f>SUM(H90:H91)</f>
        <v>5889</v>
      </c>
      <c r="I92" s="246">
        <f t="shared" ref="I92:L92" si="110">SUM(I90:I91)</f>
        <v>4836</v>
      </c>
      <c r="J92" s="246">
        <f t="shared" si="110"/>
        <v>5172</v>
      </c>
      <c r="K92" s="246">
        <f t="shared" si="110"/>
        <v>5118</v>
      </c>
      <c r="L92" s="246">
        <f t="shared" si="110"/>
        <v>4342</v>
      </c>
      <c r="Q92" s="186" t="s">
        <v>335</v>
      </c>
      <c r="R92" s="281">
        <f t="shared" ref="R92:V92" si="111">SUM(R90:R91)</f>
        <v>5386.2999999999447</v>
      </c>
      <c r="S92" s="281">
        <f t="shared" si="111"/>
        <v>5118.7999999999302</v>
      </c>
      <c r="T92" s="281">
        <f t="shared" si="111"/>
        <v>4851.2999999999884</v>
      </c>
      <c r="U92" s="281">
        <f t="shared" si="111"/>
        <v>4583.7999999999738</v>
      </c>
      <c r="V92" s="281">
        <f t="shared" si="111"/>
        <v>4316.2999999999593</v>
      </c>
      <c r="W92" s="246">
        <f>SUM(W90:W91)</f>
        <v>4058</v>
      </c>
      <c r="X92" s="246">
        <f t="shared" ref="X92" si="112">SUM(X90:X91)</f>
        <v>3517</v>
      </c>
      <c r="Y92" s="246">
        <f t="shared" ref="Y92" si="113">SUM(Y90:Y91)</f>
        <v>4067</v>
      </c>
      <c r="Z92" s="246">
        <f t="shared" ref="Z92" si="114">SUM(Z90:Z91)</f>
        <v>2896</v>
      </c>
      <c r="AA92" s="246">
        <f t="shared" ref="AA92" si="115">SUM(AA90:AA91)</f>
        <v>3031</v>
      </c>
    </row>
    <row r="93" spans="2:30" x14ac:dyDescent="0.25">
      <c r="B93" t="s">
        <v>336</v>
      </c>
      <c r="C93" s="216">
        <f t="shared" si="106"/>
        <v>234.10000000000218</v>
      </c>
      <c r="D93" s="216">
        <f t="shared" si="106"/>
        <v>218</v>
      </c>
      <c r="E93" s="216">
        <f t="shared" si="106"/>
        <v>201.90000000000146</v>
      </c>
      <c r="F93" s="216">
        <f t="shared" si="106"/>
        <v>185.79999999999927</v>
      </c>
      <c r="G93" s="216">
        <f t="shared" si="106"/>
        <v>169.70000000000073</v>
      </c>
      <c r="H93" s="178">
        <v>163</v>
      </c>
      <c r="I93" s="178">
        <v>133</v>
      </c>
      <c r="J93" s="178">
        <v>109</v>
      </c>
      <c r="K93" s="178">
        <v>106</v>
      </c>
      <c r="L93" s="178">
        <v>96</v>
      </c>
      <c r="M93">
        <f t="shared" ref="M93:M96" si="116">SLOPE(H93:L93, $H$68:$L$68)</f>
        <v>16.100000000000001</v>
      </c>
      <c r="N93">
        <f t="shared" ref="N93:N96" si="117">INTERCEPT(H93:L93, $H$68:$L$68)</f>
        <v>-32320.100000000002</v>
      </c>
      <c r="O93" t="s">
        <v>1004</v>
      </c>
      <c r="Q93" t="s">
        <v>336</v>
      </c>
      <c r="R93" s="216">
        <f t="shared" si="107"/>
        <v>226.20000000000437</v>
      </c>
      <c r="S93" s="216">
        <f t="shared" si="107"/>
        <v>206.60000000000582</v>
      </c>
      <c r="T93" s="216">
        <f t="shared" si="107"/>
        <v>187</v>
      </c>
      <c r="U93" s="216">
        <f t="shared" si="107"/>
        <v>167.40000000000146</v>
      </c>
      <c r="V93" s="216">
        <f>$AC93+V$68*$AB93</f>
        <v>147.80000000000291</v>
      </c>
      <c r="W93" s="178">
        <v>117</v>
      </c>
      <c r="X93" s="178">
        <v>115</v>
      </c>
      <c r="Y93" s="178">
        <v>110</v>
      </c>
      <c r="Z93" s="178">
        <v>53</v>
      </c>
      <c r="AA93" s="178">
        <v>50</v>
      </c>
      <c r="AB93">
        <f t="shared" ref="AB93:AB96" si="118">SLOPE(W93:AA93, $W$68:$AA$68)</f>
        <v>19.600000000000001</v>
      </c>
      <c r="AC93">
        <f t="shared" ref="AC93:AC96" si="119">INTERCEPT(W93:AA93, $W$68:$AA$68)</f>
        <v>-39405</v>
      </c>
      <c r="AD93" t="s">
        <v>1004</v>
      </c>
    </row>
    <row r="94" spans="2:30" x14ac:dyDescent="0.25">
      <c r="B94" t="s">
        <v>291</v>
      </c>
      <c r="C94" s="216">
        <f t="shared" si="106"/>
        <v>241.80000000000018</v>
      </c>
      <c r="D94" s="216">
        <f t="shared" si="106"/>
        <v>239.60000000000036</v>
      </c>
      <c r="E94" s="216">
        <f t="shared" si="106"/>
        <v>237.39999999999964</v>
      </c>
      <c r="F94" s="216">
        <f t="shared" si="106"/>
        <v>235.19999999999982</v>
      </c>
      <c r="G94" s="216">
        <f t="shared" si="106"/>
        <v>233</v>
      </c>
      <c r="H94" s="178">
        <v>240</v>
      </c>
      <c r="I94" s="178">
        <v>208</v>
      </c>
      <c r="J94" s="178">
        <v>236</v>
      </c>
      <c r="K94" s="178">
        <v>230</v>
      </c>
      <c r="L94" s="178">
        <v>218</v>
      </c>
      <c r="M94">
        <f t="shared" si="116"/>
        <v>2.2000000000000002</v>
      </c>
      <c r="N94">
        <f t="shared" si="117"/>
        <v>-4206.6000000000004</v>
      </c>
      <c r="O94" t="s">
        <v>1004</v>
      </c>
      <c r="Q94" t="s">
        <v>291</v>
      </c>
      <c r="R94" s="216">
        <f t="shared" si="107"/>
        <v>431.60000000000582</v>
      </c>
      <c r="S94" s="216">
        <f t="shared" si="107"/>
        <v>392.19999999999709</v>
      </c>
      <c r="T94" s="216">
        <f t="shared" si="107"/>
        <v>352.80000000000291</v>
      </c>
      <c r="U94" s="216">
        <f t="shared" si="107"/>
        <v>313.39999999999418</v>
      </c>
      <c r="V94" s="216">
        <f>$AC94+V$68*$AB94</f>
        <v>274</v>
      </c>
      <c r="W94" s="178">
        <v>214</v>
      </c>
      <c r="X94" s="178">
        <v>189</v>
      </c>
      <c r="Y94" s="178">
        <v>226</v>
      </c>
      <c r="Z94" s="178">
        <v>77</v>
      </c>
      <c r="AA94" s="178">
        <v>73</v>
      </c>
      <c r="AB94">
        <f t="shared" si="118"/>
        <v>39.4</v>
      </c>
      <c r="AC94">
        <f t="shared" si="119"/>
        <v>-79235.199999999997</v>
      </c>
      <c r="AD94" t="s">
        <v>1004</v>
      </c>
    </row>
    <row r="95" spans="2:30" x14ac:dyDescent="0.25">
      <c r="B95" t="s">
        <v>292</v>
      </c>
      <c r="C95" s="216">
        <f t="shared" si="106"/>
        <v>56.300000000000182</v>
      </c>
      <c r="D95" s="216">
        <f t="shared" si="106"/>
        <v>53.399999999999636</v>
      </c>
      <c r="E95" s="216">
        <f t="shared" si="106"/>
        <v>50.5</v>
      </c>
      <c r="F95" s="216">
        <f t="shared" si="106"/>
        <v>47.599999999999454</v>
      </c>
      <c r="G95" s="216">
        <f t="shared" si="106"/>
        <v>44.699999999999818</v>
      </c>
      <c r="H95" s="178">
        <v>40</v>
      </c>
      <c r="I95" s="178">
        <v>41</v>
      </c>
      <c r="J95" s="178">
        <v>35</v>
      </c>
      <c r="K95" s="178">
        <v>36</v>
      </c>
      <c r="L95" s="178">
        <v>28</v>
      </c>
      <c r="M95">
        <f t="shared" si="116"/>
        <v>2.9</v>
      </c>
      <c r="N95">
        <f t="shared" si="117"/>
        <v>-5807.5</v>
      </c>
      <c r="O95" t="s">
        <v>1004</v>
      </c>
      <c r="Q95" t="s">
        <v>292</v>
      </c>
      <c r="R95" s="216">
        <f t="shared" si="107"/>
        <v>77.5</v>
      </c>
      <c r="S95" s="216">
        <f t="shared" si="107"/>
        <v>72.800000000001091</v>
      </c>
      <c r="T95" s="216">
        <f t="shared" si="107"/>
        <v>68.100000000000364</v>
      </c>
      <c r="U95" s="216">
        <f t="shared" si="107"/>
        <v>63.400000000001455</v>
      </c>
      <c r="V95" s="216">
        <f>$AC95+V$68*$AB95</f>
        <v>58.700000000000728</v>
      </c>
      <c r="W95" s="178">
        <v>54</v>
      </c>
      <c r="X95" s="178">
        <v>42</v>
      </c>
      <c r="Y95" s="178">
        <v>56</v>
      </c>
      <c r="Z95" s="178">
        <v>39</v>
      </c>
      <c r="AA95" s="178">
        <v>32</v>
      </c>
      <c r="AB95">
        <f t="shared" si="118"/>
        <v>4.7</v>
      </c>
      <c r="AC95">
        <f t="shared" si="119"/>
        <v>-9425.9</v>
      </c>
      <c r="AD95" t="s">
        <v>1004</v>
      </c>
    </row>
    <row r="96" spans="2:30" x14ac:dyDescent="0.25">
      <c r="B96" t="s">
        <v>310</v>
      </c>
      <c r="C96" s="216">
        <f t="shared" si="106"/>
        <v>3.6</v>
      </c>
      <c r="D96" s="216">
        <f t="shared" si="106"/>
        <v>3.6</v>
      </c>
      <c r="E96" s="216">
        <f t="shared" si="106"/>
        <v>3.6</v>
      </c>
      <c r="F96" s="216">
        <f t="shared" si="106"/>
        <v>3.6</v>
      </c>
      <c r="G96" s="216">
        <f t="shared" si="106"/>
        <v>3.6</v>
      </c>
      <c r="H96" s="178">
        <v>3</v>
      </c>
      <c r="I96" s="178">
        <v>4</v>
      </c>
      <c r="J96" s="178">
        <v>4</v>
      </c>
      <c r="K96" s="178">
        <v>4</v>
      </c>
      <c r="L96" s="178">
        <v>3</v>
      </c>
      <c r="M96">
        <f t="shared" si="116"/>
        <v>0</v>
      </c>
      <c r="N96">
        <f t="shared" si="117"/>
        <v>3.6</v>
      </c>
      <c r="O96" t="s">
        <v>1004</v>
      </c>
      <c r="Q96" t="s">
        <v>310</v>
      </c>
      <c r="R96" s="216">
        <f t="shared" si="107"/>
        <v>1.5999999999999091</v>
      </c>
      <c r="S96" s="216">
        <f t="shared" si="107"/>
        <v>1.9999999999998863</v>
      </c>
      <c r="T96" s="216">
        <f t="shared" si="107"/>
        <v>2.3999999999999773</v>
      </c>
      <c r="U96" s="216">
        <f t="shared" si="107"/>
        <v>2.7999999999999545</v>
      </c>
      <c r="V96" s="216">
        <f>$AC96+V$68*$AB96</f>
        <v>3.1999999999999318</v>
      </c>
      <c r="W96" s="178">
        <v>3</v>
      </c>
      <c r="X96" s="178">
        <v>5</v>
      </c>
      <c r="Y96" s="178">
        <v>5</v>
      </c>
      <c r="Z96" s="178">
        <v>3</v>
      </c>
      <c r="AA96" s="178">
        <v>6</v>
      </c>
      <c r="AB96">
        <f t="shared" si="118"/>
        <v>-0.4</v>
      </c>
      <c r="AC96">
        <f t="shared" si="119"/>
        <v>810.4</v>
      </c>
      <c r="AD96" t="s">
        <v>1004</v>
      </c>
    </row>
    <row r="97" spans="2:30" x14ac:dyDescent="0.25">
      <c r="B97" s="212" t="s">
        <v>337</v>
      </c>
      <c r="C97" s="216">
        <f t="shared" ref="C97:G99" si="120">$M97</f>
        <v>0</v>
      </c>
      <c r="D97" s="216">
        <f t="shared" si="120"/>
        <v>0</v>
      </c>
      <c r="E97" s="216">
        <f t="shared" si="120"/>
        <v>0</v>
      </c>
      <c r="F97" s="216">
        <f t="shared" si="120"/>
        <v>0</v>
      </c>
      <c r="G97" s="216">
        <f t="shared" si="120"/>
        <v>0</v>
      </c>
      <c r="H97" s="178"/>
      <c r="I97" s="178"/>
      <c r="J97" s="178"/>
      <c r="K97" s="178"/>
      <c r="L97" s="178"/>
      <c r="M97">
        <v>0</v>
      </c>
      <c r="O97" t="s">
        <v>1037</v>
      </c>
      <c r="Q97" s="212" t="s">
        <v>337</v>
      </c>
      <c r="R97" s="216">
        <f t="shared" ref="R97:V99" si="121">$AB97</f>
        <v>0</v>
      </c>
      <c r="S97" s="216">
        <f t="shared" si="121"/>
        <v>0</v>
      </c>
      <c r="T97" s="216">
        <f t="shared" si="121"/>
        <v>0</v>
      </c>
      <c r="U97" s="216">
        <f t="shared" si="121"/>
        <v>0</v>
      </c>
      <c r="V97" s="216">
        <f>$AB97</f>
        <v>0</v>
      </c>
      <c r="W97" s="178"/>
      <c r="X97" s="178"/>
      <c r="Y97" s="178"/>
      <c r="Z97" s="178"/>
      <c r="AA97" s="178"/>
      <c r="AB97">
        <v>0</v>
      </c>
      <c r="AD97" t="s">
        <v>1037</v>
      </c>
    </row>
    <row r="98" spans="2:30" x14ac:dyDescent="0.25">
      <c r="B98" t="s">
        <v>306</v>
      </c>
      <c r="C98" s="216">
        <f t="shared" si="120"/>
        <v>0</v>
      </c>
      <c r="D98" s="216">
        <f t="shared" si="120"/>
        <v>0</v>
      </c>
      <c r="E98" s="216">
        <f t="shared" si="120"/>
        <v>0</v>
      </c>
      <c r="F98" s="216">
        <f t="shared" si="120"/>
        <v>0</v>
      </c>
      <c r="G98" s="216">
        <f t="shared" si="120"/>
        <v>0</v>
      </c>
      <c r="H98" s="178">
        <v>0</v>
      </c>
      <c r="I98" s="178">
        <v>0</v>
      </c>
      <c r="J98" s="178">
        <v>9</v>
      </c>
      <c r="K98" s="178">
        <v>0</v>
      </c>
      <c r="L98" s="178">
        <v>0</v>
      </c>
      <c r="M98" s="16">
        <v>0</v>
      </c>
      <c r="O98" t="s">
        <v>1037</v>
      </c>
      <c r="Q98" s="212" t="s">
        <v>306</v>
      </c>
      <c r="R98" s="216">
        <f t="shared" si="121"/>
        <v>0</v>
      </c>
      <c r="S98" s="216">
        <f t="shared" si="121"/>
        <v>0</v>
      </c>
      <c r="T98" s="216">
        <f t="shared" si="121"/>
        <v>0</v>
      </c>
      <c r="U98" s="216">
        <f t="shared" si="121"/>
        <v>0</v>
      </c>
      <c r="V98" s="216">
        <f t="shared" si="121"/>
        <v>0</v>
      </c>
      <c r="W98" s="178"/>
      <c r="X98" s="178"/>
      <c r="Y98" s="178"/>
      <c r="Z98" s="178"/>
      <c r="AA98" s="178"/>
      <c r="AB98" s="16">
        <v>0</v>
      </c>
      <c r="AD98" t="s">
        <v>1037</v>
      </c>
    </row>
    <row r="99" spans="2:30" x14ac:dyDescent="0.25">
      <c r="B99" t="s">
        <v>307</v>
      </c>
      <c r="C99" s="216">
        <f t="shared" si="120"/>
        <v>0</v>
      </c>
      <c r="D99" s="216">
        <f t="shared" si="120"/>
        <v>0</v>
      </c>
      <c r="E99" s="216">
        <f t="shared" si="120"/>
        <v>0</v>
      </c>
      <c r="F99" s="216">
        <f t="shared" si="120"/>
        <v>0</v>
      </c>
      <c r="G99" s="216">
        <f t="shared" si="120"/>
        <v>0</v>
      </c>
      <c r="H99" s="178">
        <v>0</v>
      </c>
      <c r="I99" s="178">
        <v>0</v>
      </c>
      <c r="J99" s="178">
        <v>13</v>
      </c>
      <c r="K99" s="178">
        <v>0</v>
      </c>
      <c r="L99" s="178">
        <v>0</v>
      </c>
      <c r="M99" s="16">
        <v>0</v>
      </c>
      <c r="Q99" t="s">
        <v>307</v>
      </c>
      <c r="R99" s="216">
        <f t="shared" si="121"/>
        <v>0</v>
      </c>
      <c r="S99" s="216">
        <f t="shared" si="121"/>
        <v>0</v>
      </c>
      <c r="T99" s="216">
        <f t="shared" si="121"/>
        <v>0</v>
      </c>
      <c r="U99" s="216">
        <f t="shared" si="121"/>
        <v>0</v>
      </c>
      <c r="V99" s="216">
        <f t="shared" si="121"/>
        <v>0</v>
      </c>
      <c r="W99" s="178">
        <v>0</v>
      </c>
      <c r="X99" s="178">
        <v>0</v>
      </c>
      <c r="Y99" s="178">
        <v>26</v>
      </c>
      <c r="Z99" s="178"/>
      <c r="AA99" s="178"/>
      <c r="AB99" s="16">
        <v>0</v>
      </c>
      <c r="AD99" t="s">
        <v>1037</v>
      </c>
    </row>
    <row r="100" spans="2:30" x14ac:dyDescent="0.25">
      <c r="C100" s="246"/>
      <c r="D100" s="246"/>
      <c r="E100" s="246"/>
      <c r="F100" s="246"/>
      <c r="G100" s="246"/>
      <c r="H100" s="178"/>
      <c r="I100" s="178"/>
      <c r="J100" s="178"/>
      <c r="K100" s="178"/>
      <c r="L100" s="178"/>
      <c r="R100" s="246"/>
      <c r="S100" s="246"/>
      <c r="T100" s="246"/>
      <c r="U100" s="246"/>
      <c r="V100" s="246"/>
      <c r="W100" s="178"/>
      <c r="X100" s="178"/>
      <c r="Y100" s="178"/>
      <c r="Z100" s="178"/>
      <c r="AA100" s="178"/>
    </row>
    <row r="101" spans="2:30" x14ac:dyDescent="0.25">
      <c r="B101" t="s">
        <v>854</v>
      </c>
      <c r="C101" s="216">
        <f t="shared" ref="C101:G101" si="122">$N101+C$68*$M101</f>
        <v>4080.7000000000116</v>
      </c>
      <c r="D101" s="216">
        <f t="shared" si="122"/>
        <v>3905.8000000000466</v>
      </c>
      <c r="E101" s="216">
        <f t="shared" si="122"/>
        <v>3730.9000000000233</v>
      </c>
      <c r="F101" s="216">
        <f t="shared" si="122"/>
        <v>3556.0000000000582</v>
      </c>
      <c r="G101" s="216">
        <f t="shared" si="122"/>
        <v>3381.1000000000349</v>
      </c>
      <c r="H101" s="178">
        <f>H102-H104</f>
        <v>3412</v>
      </c>
      <c r="I101" s="178">
        <f t="shared" ref="I101:L101" si="123">I102-I104</f>
        <v>2706</v>
      </c>
      <c r="J101" s="178">
        <f t="shared" si="123"/>
        <v>2817</v>
      </c>
      <c r="K101" s="178">
        <f t="shared" si="123"/>
        <v>2913</v>
      </c>
      <c r="L101" s="178">
        <f t="shared" si="123"/>
        <v>2434</v>
      </c>
      <c r="M101">
        <f t="shared" ref="M101" si="124">SLOPE(H101:L101, $H$68:$L$68)</f>
        <v>174.9</v>
      </c>
      <c r="N101">
        <f t="shared" ref="N101" si="125">INTERCEPT(H101:L101, $H$68:$L$68)</f>
        <v>-349567.1</v>
      </c>
      <c r="O101" t="s">
        <v>1004</v>
      </c>
      <c r="Q101" t="s">
        <v>854</v>
      </c>
      <c r="R101" s="216">
        <f t="shared" ref="R101:V101" si="126">$AC101+R$68*$AB101</f>
        <v>1848.0000000000018</v>
      </c>
      <c r="S101" s="216">
        <f t="shared" si="126"/>
        <v>1842.6000000000022</v>
      </c>
      <c r="T101" s="216">
        <f t="shared" si="126"/>
        <v>1837.2000000000007</v>
      </c>
      <c r="U101" s="216">
        <f t="shared" si="126"/>
        <v>1831.8000000000011</v>
      </c>
      <c r="V101" s="216">
        <f t="shared" si="126"/>
        <v>1826.4000000000015</v>
      </c>
      <c r="W101" s="178">
        <f>W102-W104</f>
        <v>1921</v>
      </c>
      <c r="X101" s="178">
        <f t="shared" ref="X101:AA101" si="127">X102-X104</f>
        <v>1654</v>
      </c>
      <c r="Y101" s="178">
        <f t="shared" si="127"/>
        <v>1929</v>
      </c>
      <c r="Z101" s="178">
        <f t="shared" si="127"/>
        <v>1652</v>
      </c>
      <c r="AA101" s="178">
        <f t="shared" si="127"/>
        <v>1895</v>
      </c>
      <c r="AB101">
        <f>SLOPE(W101:AA101, $W$68:$AA$68)</f>
        <v>5.4</v>
      </c>
      <c r="AC101">
        <f>INTERCEPT(W101:AA101, $W$68:$AA$68)</f>
        <v>-9070.7999999999993</v>
      </c>
      <c r="AD101" t="s">
        <v>1004</v>
      </c>
    </row>
    <row r="102" spans="2:30" x14ac:dyDescent="0.25">
      <c r="B102" t="s">
        <v>942</v>
      </c>
      <c r="C102" s="216">
        <f>C90+C94-C95+C96</f>
        <v>5404.7999999999538</v>
      </c>
      <c r="D102" s="216">
        <f t="shared" ref="D102:G102" si="128">D90+D94-D95+D96</f>
        <v>5190.7999999999429</v>
      </c>
      <c r="E102" s="216">
        <f t="shared" si="128"/>
        <v>4976.7999999999884</v>
      </c>
      <c r="F102" s="216">
        <f t="shared" si="128"/>
        <v>4762.7999999999774</v>
      </c>
      <c r="G102" s="216">
        <f t="shared" si="128"/>
        <v>4548.7999999999656</v>
      </c>
      <c r="H102" s="178">
        <f>H90-H94+H95+H96</f>
        <v>4166</v>
      </c>
      <c r="I102" s="178">
        <f>I90-I94+I95</f>
        <v>3347</v>
      </c>
      <c r="J102" s="178">
        <f>J90-J94+J95</f>
        <v>3544</v>
      </c>
      <c r="K102" s="178">
        <f>K90-K94+K95</f>
        <v>3597</v>
      </c>
      <c r="L102" s="178">
        <f>L90-L94+L95</f>
        <v>2961</v>
      </c>
      <c r="Q102" t="s">
        <v>942</v>
      </c>
      <c r="R102" s="216">
        <f t="shared" ref="R102:V102" si="129">R90+R94-R95+R96</f>
        <v>2986.299999999997</v>
      </c>
      <c r="S102" s="216">
        <f t="shared" si="129"/>
        <v>2887.1999999999844</v>
      </c>
      <c r="T102" s="216">
        <f t="shared" si="129"/>
        <v>2788.1000000000026</v>
      </c>
      <c r="U102" s="216">
        <f t="shared" si="129"/>
        <v>2688.99999999999</v>
      </c>
      <c r="V102" s="216">
        <f t="shared" si="129"/>
        <v>2589.8999999999933</v>
      </c>
      <c r="W102" s="178">
        <f>W90-W94+W95</f>
        <v>2215</v>
      </c>
      <c r="X102" s="178">
        <f>X90-X94+X95</f>
        <v>1917</v>
      </c>
      <c r="Y102" s="178">
        <f>Y90-Y94+Y95</f>
        <v>2264</v>
      </c>
      <c r="Z102" s="178">
        <f>Z90-Z94+Z95</f>
        <v>1820</v>
      </c>
      <c r="AA102" s="178">
        <f>AA90-AA94+AA95</f>
        <v>2113</v>
      </c>
    </row>
    <row r="103" spans="2:30" x14ac:dyDescent="0.25">
      <c r="C103" s="246"/>
      <c r="D103" s="246"/>
      <c r="E103" s="246"/>
      <c r="F103" s="246"/>
      <c r="G103" s="246"/>
      <c r="H103" s="178"/>
      <c r="I103" s="178"/>
      <c r="J103" s="178"/>
      <c r="K103" s="178"/>
      <c r="L103" s="178"/>
      <c r="W103" s="178"/>
      <c r="X103" s="178"/>
      <c r="Y103" s="178"/>
      <c r="Z103" s="178"/>
      <c r="AA103" s="178"/>
    </row>
    <row r="104" spans="2:30" x14ac:dyDescent="0.25">
      <c r="B104" t="s">
        <v>338</v>
      </c>
      <c r="C104" s="216">
        <f t="shared" ref="C104:F104" si="130">C102-C101</f>
        <v>1324.0999999999422</v>
      </c>
      <c r="D104" s="216">
        <f t="shared" si="130"/>
        <v>1284.9999999998963</v>
      </c>
      <c r="E104" s="216">
        <f t="shared" si="130"/>
        <v>1245.8999999999651</v>
      </c>
      <c r="F104" s="216">
        <f t="shared" si="130"/>
        <v>1206.7999999999192</v>
      </c>
      <c r="G104" s="216">
        <f>G102-G101</f>
        <v>1167.6999999999307</v>
      </c>
      <c r="H104" s="178">
        <v>754</v>
      </c>
      <c r="I104" s="178">
        <v>641</v>
      </c>
      <c r="J104" s="178">
        <v>727</v>
      </c>
      <c r="K104" s="178">
        <v>684</v>
      </c>
      <c r="L104" s="178">
        <v>527</v>
      </c>
      <c r="Q104" t="s">
        <v>338</v>
      </c>
      <c r="R104" s="216">
        <f t="shared" ref="R104:U104" si="131">R102-R101</f>
        <v>1138.2999999999952</v>
      </c>
      <c r="S104" s="216">
        <f t="shared" si="131"/>
        <v>1044.5999999999822</v>
      </c>
      <c r="T104" s="216">
        <f t="shared" si="131"/>
        <v>950.90000000000191</v>
      </c>
      <c r="U104" s="216">
        <f t="shared" si="131"/>
        <v>857.1999999999889</v>
      </c>
      <c r="V104" s="216">
        <f>V102-V101</f>
        <v>763.49999999999181</v>
      </c>
      <c r="W104" s="178">
        <v>294</v>
      </c>
      <c r="X104" s="178">
        <v>263</v>
      </c>
      <c r="Y104" s="178">
        <v>335</v>
      </c>
      <c r="Z104" s="178">
        <v>168</v>
      </c>
      <c r="AA104" s="178">
        <v>218</v>
      </c>
    </row>
    <row r="105" spans="2:30" x14ac:dyDescent="0.25">
      <c r="B105" t="s">
        <v>339</v>
      </c>
      <c r="C105" s="87"/>
      <c r="D105" s="87"/>
      <c r="E105" s="87"/>
      <c r="F105" s="87"/>
      <c r="G105" s="87"/>
      <c r="H105" s="87">
        <f>H104/H92</f>
        <v>0.12803532008830021</v>
      </c>
      <c r="I105" s="87">
        <f>I104/I92</f>
        <v>0.13254755996691481</v>
      </c>
      <c r="J105" s="87">
        <f>J104/J92</f>
        <v>0.14056457849961329</v>
      </c>
      <c r="K105" s="87">
        <f>K104/K92</f>
        <v>0.13364595545134819</v>
      </c>
      <c r="L105" s="87">
        <f>L104/L92</f>
        <v>0.12137263933671119</v>
      </c>
      <c r="Q105" t="s">
        <v>339</v>
      </c>
      <c r="W105" s="87">
        <f>W104/W92</f>
        <v>7.24494825036964E-2</v>
      </c>
      <c r="X105" s="87">
        <f>X104/X92</f>
        <v>7.4779641740119418E-2</v>
      </c>
      <c r="Y105" s="87">
        <f>Y104/Y92</f>
        <v>8.2370297516596996E-2</v>
      </c>
      <c r="Z105" s="87">
        <f>Z104/Z92</f>
        <v>5.8011049723756904E-2</v>
      </c>
      <c r="AA105" s="87">
        <f>AA104/AA92</f>
        <v>7.1923457604750912E-2</v>
      </c>
    </row>
    <row r="107" spans="2:30" x14ac:dyDescent="0.25">
      <c r="G107" s="11"/>
      <c r="H107" s="11"/>
    </row>
    <row r="109" spans="2:30" x14ac:dyDescent="0.25">
      <c r="B109" s="1" t="s">
        <v>848</v>
      </c>
      <c r="C109" s="246"/>
      <c r="D109" s="246"/>
      <c r="E109" s="246"/>
      <c r="F109" s="246"/>
      <c r="G109" s="246"/>
      <c r="H109" s="178"/>
      <c r="I109" s="178"/>
      <c r="J109" s="178"/>
      <c r="K109" s="178"/>
      <c r="L109" s="178"/>
    </row>
    <row r="110" spans="2:30" x14ac:dyDescent="0.25">
      <c r="C110" s="246"/>
      <c r="D110" s="246"/>
      <c r="E110" s="246"/>
      <c r="F110" s="246"/>
      <c r="G110" s="246"/>
      <c r="H110" s="178"/>
      <c r="I110" s="178"/>
      <c r="J110" s="178"/>
      <c r="K110" s="178"/>
      <c r="L110" s="178"/>
    </row>
    <row r="111" spans="2:30" x14ac:dyDescent="0.25">
      <c r="B111" t="s">
        <v>307</v>
      </c>
      <c r="C111" s="246"/>
      <c r="D111" s="246"/>
      <c r="E111" s="246"/>
      <c r="F111" s="246"/>
      <c r="G111" s="246"/>
      <c r="H111" s="178"/>
      <c r="I111" s="178"/>
      <c r="J111" s="178">
        <v>9</v>
      </c>
      <c r="K111" s="178"/>
      <c r="L111" s="178"/>
    </row>
    <row r="112" spans="2:30" x14ac:dyDescent="0.25">
      <c r="B112" s="88" t="s">
        <v>849</v>
      </c>
      <c r="C112" s="246"/>
      <c r="D112" s="246"/>
      <c r="E112" s="246"/>
      <c r="F112" s="246"/>
      <c r="G112" s="246"/>
      <c r="H112" s="178">
        <v>55</v>
      </c>
      <c r="I112" s="178">
        <v>17</v>
      </c>
      <c r="J112" s="178">
        <v>-20</v>
      </c>
      <c r="K112" s="178">
        <v>-70</v>
      </c>
      <c r="L112" s="178">
        <v>-14</v>
      </c>
    </row>
    <row r="114" spans="2:16" x14ac:dyDescent="0.25">
      <c r="B114" s="1" t="s">
        <v>852</v>
      </c>
      <c r="C114" s="246"/>
      <c r="D114" s="246"/>
      <c r="E114" s="246"/>
      <c r="F114" s="246"/>
      <c r="G114" s="246"/>
      <c r="H114" s="178">
        <v>2017</v>
      </c>
      <c r="I114" s="178">
        <v>2016</v>
      </c>
      <c r="J114" s="178">
        <v>2015</v>
      </c>
      <c r="K114" s="178">
        <v>2014</v>
      </c>
      <c r="L114" s="178">
        <v>2013</v>
      </c>
    </row>
    <row r="115" spans="2:16" x14ac:dyDescent="0.25">
      <c r="B115" t="s">
        <v>307</v>
      </c>
      <c r="C115" s="246"/>
      <c r="D115" s="246"/>
      <c r="E115" s="246"/>
      <c r="F115" s="246"/>
      <c r="G115" s="246"/>
      <c r="H115" s="178"/>
      <c r="I115" s="178"/>
      <c r="J115" s="178">
        <v>2</v>
      </c>
      <c r="K115" s="178"/>
      <c r="L115" s="178"/>
    </row>
    <row r="116" spans="2:16" x14ac:dyDescent="0.25">
      <c r="B116" t="s">
        <v>296</v>
      </c>
      <c r="C116" s="246"/>
      <c r="D116" s="246"/>
      <c r="E116" s="246"/>
      <c r="F116" s="246"/>
      <c r="G116" s="246"/>
      <c r="H116" s="178">
        <v>0</v>
      </c>
      <c r="I116" s="178">
        <v>0</v>
      </c>
      <c r="J116" s="178">
        <v>336</v>
      </c>
      <c r="K116" s="178">
        <v>282</v>
      </c>
      <c r="L116" s="178">
        <v>-494</v>
      </c>
    </row>
    <row r="121" spans="2:16" x14ac:dyDescent="0.25">
      <c r="C121" s="298">
        <v>2022</v>
      </c>
      <c r="D121" s="298">
        <v>2021</v>
      </c>
      <c r="E121" s="298">
        <v>2020</v>
      </c>
      <c r="F121" s="298">
        <v>2019</v>
      </c>
      <c r="G121" s="298">
        <v>2018</v>
      </c>
      <c r="H121" s="246">
        <v>2017</v>
      </c>
      <c r="I121" s="246">
        <v>2016</v>
      </c>
      <c r="J121" s="246">
        <v>2015</v>
      </c>
      <c r="K121" s="178">
        <v>2014</v>
      </c>
      <c r="L121" s="178">
        <v>2013</v>
      </c>
    </row>
    <row r="122" spans="2:16" x14ac:dyDescent="0.25">
      <c r="B122" s="1" t="s">
        <v>25</v>
      </c>
    </row>
    <row r="123" spans="2:16" x14ac:dyDescent="0.25">
      <c r="B123" t="s">
        <v>853</v>
      </c>
      <c r="C123" s="298">
        <f>SUBTOTAL(9,C124:C130)</f>
        <v>3514.9999999998422</v>
      </c>
      <c r="D123" s="298">
        <f t="shared" ref="D123:G123" si="132">SUBTOTAL(9,D124:D130)</f>
        <v>3396.999999999407</v>
      </c>
      <c r="E123" s="298">
        <f t="shared" si="132"/>
        <v>3279.0000000000568</v>
      </c>
      <c r="F123" s="298">
        <f t="shared" si="132"/>
        <v>3160.9999999996217</v>
      </c>
      <c r="G123" s="298">
        <f t="shared" si="132"/>
        <v>3042.9999999997308</v>
      </c>
      <c r="H123" s="246">
        <f>SUBTOTAL(9,H124:H130)</f>
        <v>2446</v>
      </c>
      <c r="I123" s="246">
        <f t="shared" ref="I123:L123" si="133">SUBTOTAL(9,I124:I130)</f>
        <v>1999</v>
      </c>
      <c r="J123" s="246">
        <f t="shared" si="133"/>
        <v>2090</v>
      </c>
      <c r="K123" s="178">
        <f t="shared" si="133"/>
        <v>2498</v>
      </c>
      <c r="L123" s="178">
        <f t="shared" si="133"/>
        <v>2160</v>
      </c>
    </row>
    <row r="124" spans="2:16" x14ac:dyDescent="0.25">
      <c r="B124" s="9" t="s">
        <v>1382</v>
      </c>
      <c r="C124" s="298">
        <f>SUBTOTAL(9,C125:C129)</f>
        <v>3514.9999999998422</v>
      </c>
      <c r="D124" s="298">
        <f t="shared" ref="D124:G124" si="134">SUBTOTAL(9,D125:D129)</f>
        <v>3396.999999999407</v>
      </c>
      <c r="E124" s="298">
        <f t="shared" si="134"/>
        <v>3279.0000000000568</v>
      </c>
      <c r="F124" s="298">
        <f t="shared" si="134"/>
        <v>3160.9999999996217</v>
      </c>
      <c r="G124" s="298">
        <f t="shared" si="134"/>
        <v>3042.9999999997308</v>
      </c>
      <c r="H124" s="246">
        <f>SUBTOTAL(9,H125:H129)</f>
        <v>2391</v>
      </c>
      <c r="I124" s="246">
        <f t="shared" ref="I124:L124" si="135">SUBTOTAL(9,I125:I129)</f>
        <v>1982</v>
      </c>
      <c r="J124" s="246">
        <f t="shared" si="135"/>
        <v>2110</v>
      </c>
      <c r="K124" s="178">
        <f t="shared" si="135"/>
        <v>2568</v>
      </c>
      <c r="L124" s="178">
        <f t="shared" si="135"/>
        <v>2174</v>
      </c>
      <c r="O124" t="s">
        <v>1379</v>
      </c>
      <c r="P124" t="s">
        <v>1380</v>
      </c>
    </row>
    <row r="125" spans="2:16" x14ac:dyDescent="0.25">
      <c r="B125" s="179" t="s">
        <v>225</v>
      </c>
      <c r="C125" s="298">
        <f t="shared" ref="C125:L125" si="136">C83</f>
        <v>403.30000000009113</v>
      </c>
      <c r="D125" s="298">
        <f t="shared" si="136"/>
        <v>476.99999999980719</v>
      </c>
      <c r="E125" s="298">
        <f t="shared" si="136"/>
        <v>550.69999999999709</v>
      </c>
      <c r="F125" s="298">
        <f t="shared" si="136"/>
        <v>624.39999999971315</v>
      </c>
      <c r="G125" s="298">
        <f t="shared" si="136"/>
        <v>698.09999999990214</v>
      </c>
      <c r="H125" s="246">
        <f t="shared" si="136"/>
        <v>959</v>
      </c>
      <c r="I125" s="246">
        <f t="shared" si="136"/>
        <v>686</v>
      </c>
      <c r="J125" s="246">
        <f t="shared" si="136"/>
        <v>636</v>
      </c>
      <c r="K125" s="178">
        <f t="shared" si="136"/>
        <v>1225</v>
      </c>
      <c r="L125" s="178">
        <f t="shared" si="136"/>
        <v>1041</v>
      </c>
      <c r="O125" s="476">
        <f>CORREL($H$124:$L$124, H125:L125)</f>
        <v>0.84744364213609857</v>
      </c>
      <c r="P125" s="476">
        <f>RSQ(H124:L124,H125:L125)</f>
        <v>0.71816072659689612</v>
      </c>
    </row>
    <row r="126" spans="2:16" x14ac:dyDescent="0.25">
      <c r="B126" s="179" t="s">
        <v>263</v>
      </c>
      <c r="C126" s="298">
        <f t="shared" ref="C126:L126" si="137">R83</f>
        <v>649.29999999981374</v>
      </c>
      <c r="D126" s="298">
        <f t="shared" si="137"/>
        <v>590.39999999972133</v>
      </c>
      <c r="E126" s="298">
        <f t="shared" si="137"/>
        <v>531.50000000009277</v>
      </c>
      <c r="F126" s="298">
        <f t="shared" si="137"/>
        <v>472.60000000000036</v>
      </c>
      <c r="G126" s="298">
        <f t="shared" si="137"/>
        <v>413.69999999990614</v>
      </c>
      <c r="H126" s="246">
        <f t="shared" si="137"/>
        <v>384</v>
      </c>
      <c r="I126" s="246">
        <f t="shared" si="137"/>
        <v>392</v>
      </c>
      <c r="J126" s="246">
        <f t="shared" si="137"/>
        <v>412</v>
      </c>
      <c r="K126" s="178">
        <f t="shared" si="137"/>
        <v>491</v>
      </c>
      <c r="L126" s="178">
        <f t="shared" si="137"/>
        <v>388</v>
      </c>
      <c r="O126" s="476">
        <f>CORREL($H$124:$L$124, H126:L126)</f>
        <v>0.68013850605434212</v>
      </c>
      <c r="P126" s="476">
        <f>RSQ(H125:L125,H126:L126)</f>
        <v>0.316735393294024</v>
      </c>
    </row>
    <row r="127" spans="2:16" x14ac:dyDescent="0.25">
      <c r="B127" s="179" t="s">
        <v>218</v>
      </c>
      <c r="C127" s="298">
        <f t="shared" ref="C127:L127" si="138">C104</f>
        <v>1324.0999999999422</v>
      </c>
      <c r="D127" s="298">
        <f t="shared" si="138"/>
        <v>1284.9999999998963</v>
      </c>
      <c r="E127" s="298">
        <f t="shared" si="138"/>
        <v>1245.8999999999651</v>
      </c>
      <c r="F127" s="298">
        <f t="shared" si="138"/>
        <v>1206.7999999999192</v>
      </c>
      <c r="G127" s="298">
        <f t="shared" si="138"/>
        <v>1167.6999999999307</v>
      </c>
      <c r="H127" s="246">
        <f t="shared" si="138"/>
        <v>754</v>
      </c>
      <c r="I127" s="246">
        <f t="shared" si="138"/>
        <v>641</v>
      </c>
      <c r="J127" s="246">
        <f t="shared" si="138"/>
        <v>727</v>
      </c>
      <c r="K127" s="178">
        <f t="shared" si="138"/>
        <v>684</v>
      </c>
      <c r="L127" s="178">
        <f t="shared" si="138"/>
        <v>527</v>
      </c>
      <c r="O127" s="476">
        <f>CORREL($H$124:$L$124, H127:L127)</f>
        <v>0.3230122368370083</v>
      </c>
      <c r="P127" s="476">
        <f>RSQ(H126:L126,H127:L127)</f>
        <v>3.0691652394909945E-2</v>
      </c>
    </row>
    <row r="128" spans="2:16" x14ac:dyDescent="0.25">
      <c r="B128" s="179" t="s">
        <v>250</v>
      </c>
      <c r="C128" s="298">
        <f t="shared" ref="C128:L128" si="139">R104</f>
        <v>1138.2999999999952</v>
      </c>
      <c r="D128" s="298">
        <f t="shared" si="139"/>
        <v>1044.5999999999822</v>
      </c>
      <c r="E128" s="298">
        <f t="shared" si="139"/>
        <v>950.90000000000191</v>
      </c>
      <c r="F128" s="298">
        <f t="shared" si="139"/>
        <v>857.1999999999889</v>
      </c>
      <c r="G128" s="298">
        <f t="shared" si="139"/>
        <v>763.49999999999181</v>
      </c>
      <c r="H128" s="246">
        <f t="shared" si="139"/>
        <v>294</v>
      </c>
      <c r="I128" s="246">
        <f t="shared" si="139"/>
        <v>263</v>
      </c>
      <c r="J128" s="246">
        <f t="shared" si="139"/>
        <v>335</v>
      </c>
      <c r="K128" s="178">
        <f t="shared" si="139"/>
        <v>168</v>
      </c>
      <c r="L128" s="178">
        <f t="shared" si="139"/>
        <v>218</v>
      </c>
      <c r="O128" s="476">
        <f>CORREL($H$124:$L$124, H128:L128)</f>
        <v>-0.53803645586987059</v>
      </c>
      <c r="P128" s="476">
        <f>RSQ(H127:L127,H128:L128)</f>
        <v>0.25437587743471546</v>
      </c>
    </row>
    <row r="129" spans="2:12" x14ac:dyDescent="0.25">
      <c r="B129" s="179" t="s">
        <v>11</v>
      </c>
      <c r="C129" s="298">
        <v>0</v>
      </c>
      <c r="D129" s="298">
        <v>0</v>
      </c>
      <c r="E129" s="298">
        <v>0</v>
      </c>
      <c r="F129" s="298">
        <v>0</v>
      </c>
      <c r="G129" s="298">
        <v>0</v>
      </c>
      <c r="H129" s="246">
        <v>0</v>
      </c>
      <c r="I129" s="246">
        <v>0</v>
      </c>
      <c r="J129" s="246">
        <v>0</v>
      </c>
      <c r="K129" s="178">
        <v>0</v>
      </c>
      <c r="L129" s="178">
        <v>0</v>
      </c>
    </row>
    <row r="130" spans="2:12" x14ac:dyDescent="0.25">
      <c r="B130" s="9" t="s">
        <v>297</v>
      </c>
      <c r="C130" s="298">
        <f t="shared" ref="C130:L130" si="140">C112</f>
        <v>0</v>
      </c>
      <c r="D130" s="298">
        <f t="shared" si="140"/>
        <v>0</v>
      </c>
      <c r="E130" s="298">
        <f t="shared" si="140"/>
        <v>0</v>
      </c>
      <c r="F130" s="298">
        <f t="shared" si="140"/>
        <v>0</v>
      </c>
      <c r="G130" s="298">
        <f t="shared" si="140"/>
        <v>0</v>
      </c>
      <c r="H130" s="246">
        <f t="shared" si="140"/>
        <v>55</v>
      </c>
      <c r="I130" s="246">
        <f t="shared" si="140"/>
        <v>17</v>
      </c>
      <c r="J130" s="246">
        <f t="shared" si="140"/>
        <v>-20</v>
      </c>
      <c r="K130" s="178">
        <f t="shared" si="140"/>
        <v>-70</v>
      </c>
      <c r="L130" s="178">
        <f t="shared" si="140"/>
        <v>-14</v>
      </c>
    </row>
    <row r="131" spans="2:12" x14ac:dyDescent="0.25">
      <c r="B131" s="9"/>
      <c r="C131" s="246"/>
      <c r="D131" s="246"/>
      <c r="E131" s="246"/>
      <c r="F131" s="246"/>
      <c r="G131" s="246"/>
      <c r="H131" s="178"/>
      <c r="I131" s="178"/>
      <c r="J131" s="178"/>
      <c r="K131" s="178"/>
      <c r="L131" s="178"/>
    </row>
    <row r="132" spans="2:12" x14ac:dyDescent="0.25">
      <c r="B132" s="474" t="s">
        <v>1381</v>
      </c>
      <c r="C132" s="216">
        <f>SUM(C133:C136)</f>
        <v>21893.199999999852</v>
      </c>
      <c r="D132" s="216">
        <f t="shared" ref="D132:L132" si="141">SUM(D133:D136)</f>
        <v>21438.999999999651</v>
      </c>
      <c r="E132" s="216">
        <f t="shared" si="141"/>
        <v>20984.799999999988</v>
      </c>
      <c r="F132" s="216">
        <f t="shared" si="141"/>
        <v>20530.599999999788</v>
      </c>
      <c r="G132" s="216">
        <f t="shared" si="141"/>
        <v>20076.39999999982</v>
      </c>
      <c r="H132" s="216">
        <f t="shared" si="141"/>
        <v>20428</v>
      </c>
      <c r="I132" s="216">
        <f t="shared" si="141"/>
        <v>17509</v>
      </c>
      <c r="J132" s="216">
        <f t="shared" si="141"/>
        <v>18774</v>
      </c>
      <c r="K132" s="216">
        <f t="shared" si="141"/>
        <v>18939</v>
      </c>
      <c r="L132" s="216">
        <f t="shared" si="141"/>
        <v>17795</v>
      </c>
    </row>
    <row r="133" spans="2:12" x14ac:dyDescent="0.25">
      <c r="B133" s="9" t="s">
        <v>225</v>
      </c>
      <c r="C133" s="216">
        <f>C3+C8</f>
        <v>3058.3000000000466</v>
      </c>
      <c r="D133" s="216">
        <f t="shared" ref="D133:L133" si="142">D3+D8</f>
        <v>3646.3999999999069</v>
      </c>
      <c r="E133" s="216">
        <f t="shared" si="142"/>
        <v>4234.5</v>
      </c>
      <c r="F133" s="216">
        <f t="shared" si="142"/>
        <v>4822.5999999998603</v>
      </c>
      <c r="G133" s="216">
        <f t="shared" si="142"/>
        <v>5410.6999999999534</v>
      </c>
      <c r="H133" s="216">
        <f t="shared" si="142"/>
        <v>6661</v>
      </c>
      <c r="I133" s="216">
        <f t="shared" si="142"/>
        <v>5774</v>
      </c>
      <c r="J133" s="216">
        <f t="shared" si="142"/>
        <v>6733</v>
      </c>
      <c r="K133" s="216">
        <f t="shared" si="142"/>
        <v>8437</v>
      </c>
      <c r="L133" s="216">
        <f t="shared" si="142"/>
        <v>8270</v>
      </c>
    </row>
    <row r="134" spans="2:12" x14ac:dyDescent="0.25">
      <c r="B134" s="9" t="s">
        <v>263</v>
      </c>
      <c r="C134" s="216">
        <f t="shared" ref="C134:L134" si="143">C4+C9</f>
        <v>10988.59999999986</v>
      </c>
      <c r="D134" s="216">
        <f t="shared" si="143"/>
        <v>10225.799999999814</v>
      </c>
      <c r="E134" s="216">
        <f t="shared" si="143"/>
        <v>9463</v>
      </c>
      <c r="F134" s="216">
        <f t="shared" si="143"/>
        <v>8700.1999999999534</v>
      </c>
      <c r="G134" s="216">
        <f t="shared" si="143"/>
        <v>7937.3999999999069</v>
      </c>
      <c r="H134" s="216">
        <f t="shared" si="143"/>
        <v>7029</v>
      </c>
      <c r="I134" s="216">
        <f t="shared" si="143"/>
        <v>6157</v>
      </c>
      <c r="J134" s="216">
        <f t="shared" si="143"/>
        <v>6198</v>
      </c>
      <c r="K134" s="216">
        <f t="shared" si="143"/>
        <v>5135</v>
      </c>
      <c r="L134" s="216">
        <f t="shared" si="143"/>
        <v>3726</v>
      </c>
    </row>
    <row r="135" spans="2:12" x14ac:dyDescent="0.25">
      <c r="B135" s="9" t="s">
        <v>218</v>
      </c>
      <c r="C135" s="216">
        <f t="shared" ref="C135:L135" si="144">C5+C10</f>
        <v>5215.6999999999534</v>
      </c>
      <c r="D135" s="216">
        <f t="shared" si="144"/>
        <v>5000.9999999999418</v>
      </c>
      <c r="E135" s="216">
        <f t="shared" si="144"/>
        <v>4786.2999999999884</v>
      </c>
      <c r="F135" s="216">
        <f t="shared" si="144"/>
        <v>4571.5999999999767</v>
      </c>
      <c r="G135" s="216">
        <f t="shared" si="144"/>
        <v>4356.8999999999651</v>
      </c>
      <c r="H135" s="216">
        <f t="shared" si="144"/>
        <v>4363</v>
      </c>
      <c r="I135" s="216">
        <f t="shared" si="144"/>
        <v>3514</v>
      </c>
      <c r="J135" s="216">
        <f t="shared" si="144"/>
        <v>3409</v>
      </c>
      <c r="K135" s="216">
        <f t="shared" si="144"/>
        <v>3509</v>
      </c>
      <c r="L135" s="216">
        <f t="shared" si="144"/>
        <v>3645</v>
      </c>
    </row>
    <row r="136" spans="2:12" x14ac:dyDescent="0.25">
      <c r="B136" s="9" t="s">
        <v>250</v>
      </c>
      <c r="C136" s="216">
        <f t="shared" ref="C136:L136" si="145">C6+C11</f>
        <v>2630.5999999999913</v>
      </c>
      <c r="D136" s="216">
        <f t="shared" si="145"/>
        <v>2565.7999999999884</v>
      </c>
      <c r="E136" s="216">
        <f t="shared" si="145"/>
        <v>2501</v>
      </c>
      <c r="F136" s="216">
        <f t="shared" si="145"/>
        <v>2436.1999999999971</v>
      </c>
      <c r="G136" s="216">
        <f t="shared" si="145"/>
        <v>2371.3999999999942</v>
      </c>
      <c r="H136" s="216">
        <f t="shared" si="145"/>
        <v>2375</v>
      </c>
      <c r="I136" s="216">
        <f t="shared" si="145"/>
        <v>2064</v>
      </c>
      <c r="J136" s="216">
        <f t="shared" si="145"/>
        <v>2434</v>
      </c>
      <c r="K136" s="216">
        <f t="shared" si="145"/>
        <v>1858</v>
      </c>
      <c r="L136" s="216">
        <f t="shared" si="145"/>
        <v>2154</v>
      </c>
    </row>
    <row r="137" spans="2:12" x14ac:dyDescent="0.25">
      <c r="B137" s="9"/>
      <c r="C137" s="216"/>
      <c r="D137" s="216"/>
      <c r="E137" s="216"/>
      <c r="F137" s="216"/>
      <c r="G137" s="216"/>
      <c r="H137" s="216"/>
      <c r="I137" s="216"/>
      <c r="J137" s="216"/>
      <c r="K137" s="216"/>
      <c r="L137" s="216"/>
    </row>
    <row r="138" spans="2:12" x14ac:dyDescent="0.25">
      <c r="B138" s="9"/>
      <c r="C138" s="446"/>
      <c r="D138" s="446"/>
      <c r="E138" s="446"/>
      <c r="F138" s="446"/>
      <c r="G138" s="446"/>
      <c r="H138" s="446"/>
      <c r="I138" s="446"/>
      <c r="J138" s="446"/>
      <c r="K138" s="446"/>
      <c r="L138" s="446"/>
    </row>
    <row r="139" spans="2:12" x14ac:dyDescent="0.25">
      <c r="B139" s="10" t="s">
        <v>1383</v>
      </c>
      <c r="C139" s="446">
        <v>2013</v>
      </c>
      <c r="D139" s="446">
        <v>2014</v>
      </c>
      <c r="E139" s="446">
        <v>2015</v>
      </c>
      <c r="F139" s="446">
        <v>2016</v>
      </c>
      <c r="G139" s="446">
        <v>2017</v>
      </c>
      <c r="H139" s="446"/>
      <c r="I139" s="446"/>
      <c r="J139" s="446"/>
      <c r="K139" s="446"/>
      <c r="L139" s="446"/>
    </row>
    <row r="140" spans="2:12" x14ac:dyDescent="0.25">
      <c r="B140" s="10" t="s">
        <v>1381</v>
      </c>
      <c r="C140" s="446">
        <f>SUM(C141:C144)</f>
        <v>17795</v>
      </c>
      <c r="D140" s="446">
        <f t="shared" ref="D140:G140" si="146">SUM(D141:D144)</f>
        <v>18939</v>
      </c>
      <c r="E140" s="446">
        <f t="shared" si="146"/>
        <v>18774</v>
      </c>
      <c r="F140" s="446">
        <f t="shared" si="146"/>
        <v>17509</v>
      </c>
      <c r="G140" s="446">
        <f t="shared" si="146"/>
        <v>20428</v>
      </c>
      <c r="H140" s="446"/>
      <c r="I140" s="446"/>
      <c r="J140" s="446"/>
      <c r="K140" s="446"/>
      <c r="L140" s="446"/>
    </row>
    <row r="141" spans="2:12" ht="15" customHeight="1" x14ac:dyDescent="0.25">
      <c r="B141" s="9" t="s">
        <v>225</v>
      </c>
      <c r="C141" s="446">
        <f t="shared" ref="C141:G144" si="147">INDEX($C133:$L133, MATCH(C$139, $C$121:$L$121, 0))</f>
        <v>8270</v>
      </c>
      <c r="D141" s="446">
        <f t="shared" si="147"/>
        <v>8437</v>
      </c>
      <c r="E141" s="446">
        <f t="shared" si="147"/>
        <v>6733</v>
      </c>
      <c r="F141" s="446">
        <f t="shared" si="147"/>
        <v>5774</v>
      </c>
      <c r="G141" s="446">
        <f t="shared" si="147"/>
        <v>6661</v>
      </c>
      <c r="H141" s="446"/>
      <c r="I141" s="446"/>
      <c r="J141" s="446"/>
      <c r="K141" s="446"/>
      <c r="L141" s="446"/>
    </row>
    <row r="142" spans="2:12" x14ac:dyDescent="0.25">
      <c r="B142" s="9" t="s">
        <v>263</v>
      </c>
      <c r="C142" s="446">
        <f t="shared" si="147"/>
        <v>3726</v>
      </c>
      <c r="D142" s="446">
        <f t="shared" si="147"/>
        <v>5135</v>
      </c>
      <c r="E142" s="446">
        <f t="shared" si="147"/>
        <v>6198</v>
      </c>
      <c r="F142" s="446">
        <f t="shared" si="147"/>
        <v>6157</v>
      </c>
      <c r="G142" s="446">
        <f t="shared" si="147"/>
        <v>7029</v>
      </c>
      <c r="H142" s="446"/>
      <c r="I142" s="446"/>
      <c r="J142" s="446"/>
      <c r="K142" s="446"/>
      <c r="L142" s="446"/>
    </row>
    <row r="143" spans="2:12" x14ac:dyDescent="0.25">
      <c r="B143" s="9" t="s">
        <v>218</v>
      </c>
      <c r="C143" s="446">
        <f t="shared" si="147"/>
        <v>3645</v>
      </c>
      <c r="D143" s="446">
        <f t="shared" si="147"/>
        <v>3509</v>
      </c>
      <c r="E143" s="446">
        <f t="shared" si="147"/>
        <v>3409</v>
      </c>
      <c r="F143" s="446">
        <f t="shared" si="147"/>
        <v>3514</v>
      </c>
      <c r="G143" s="446">
        <f t="shared" si="147"/>
        <v>4363</v>
      </c>
      <c r="H143" s="446"/>
      <c r="I143" s="446"/>
      <c r="J143" s="446"/>
      <c r="K143" s="446"/>
      <c r="L143" s="446"/>
    </row>
    <row r="144" spans="2:12" x14ac:dyDescent="0.25">
      <c r="B144" s="9" t="s">
        <v>250</v>
      </c>
      <c r="C144" s="446">
        <f t="shared" si="147"/>
        <v>2154</v>
      </c>
      <c r="D144" s="446">
        <f t="shared" si="147"/>
        <v>1858</v>
      </c>
      <c r="E144" s="446">
        <f t="shared" si="147"/>
        <v>2434</v>
      </c>
      <c r="F144" s="446">
        <f t="shared" si="147"/>
        <v>2064</v>
      </c>
      <c r="G144" s="446">
        <f t="shared" si="147"/>
        <v>2375</v>
      </c>
      <c r="H144" s="446"/>
      <c r="I144" s="446"/>
      <c r="J144" s="446"/>
      <c r="K144" s="446"/>
      <c r="L144" s="446"/>
    </row>
    <row r="145" spans="2:12" x14ac:dyDescent="0.25">
      <c r="B145" s="9"/>
      <c r="C145" s="446"/>
      <c r="D145" s="446"/>
      <c r="E145" s="446"/>
      <c r="F145" s="446"/>
      <c r="G145" s="446"/>
      <c r="H145" s="446"/>
      <c r="I145" s="446"/>
      <c r="J145" s="446"/>
      <c r="K145" s="446"/>
      <c r="L145" s="446"/>
    </row>
    <row r="146" spans="2:12" x14ac:dyDescent="0.25">
      <c r="C146" s="446">
        <v>2013</v>
      </c>
      <c r="D146" s="446">
        <v>2014</v>
      </c>
      <c r="E146" s="446">
        <v>2015</v>
      </c>
      <c r="F146" s="446">
        <v>2016</v>
      </c>
      <c r="G146" s="446">
        <v>2017</v>
      </c>
      <c r="H146" s="446"/>
      <c r="I146" s="446"/>
      <c r="J146" s="446"/>
      <c r="K146" s="446"/>
      <c r="L146" s="446"/>
    </row>
    <row r="147" spans="2:12" x14ac:dyDescent="0.25">
      <c r="B147" s="10" t="s">
        <v>1382</v>
      </c>
      <c r="C147" s="446">
        <f>SUM(C148:C151)</f>
        <v>2174</v>
      </c>
      <c r="D147" s="446">
        <f t="shared" ref="D147" si="148">SUM(D148:D151)</f>
        <v>2568</v>
      </c>
      <c r="E147" s="446">
        <f t="shared" ref="E147" si="149">SUM(E148:E151)</f>
        <v>2110</v>
      </c>
      <c r="F147" s="446">
        <f t="shared" ref="F147" si="150">SUM(F148:F151)</f>
        <v>1982</v>
      </c>
      <c r="G147" s="446">
        <f t="shared" ref="G147" si="151">SUM(G148:G151)</f>
        <v>2391</v>
      </c>
      <c r="H147" s="446"/>
      <c r="I147" s="446"/>
      <c r="J147" s="446"/>
      <c r="K147" s="446"/>
      <c r="L147" s="446"/>
    </row>
    <row r="148" spans="2:12" x14ac:dyDescent="0.25">
      <c r="B148" s="9" t="s">
        <v>225</v>
      </c>
      <c r="C148" s="446">
        <f>INDEX($C125:$L125, MATCH(C$139, $C$121:$L$121, 0))</f>
        <v>1041</v>
      </c>
      <c r="D148" s="446">
        <f t="shared" ref="D148:G148" si="152">INDEX($C125:$L125, MATCH(D$139, $C$121:$L$121, 0))</f>
        <v>1225</v>
      </c>
      <c r="E148" s="446">
        <f t="shared" si="152"/>
        <v>636</v>
      </c>
      <c r="F148" s="446">
        <f t="shared" si="152"/>
        <v>686</v>
      </c>
      <c r="G148" s="446">
        <f t="shared" si="152"/>
        <v>959</v>
      </c>
      <c r="H148" s="446"/>
      <c r="I148" s="446"/>
      <c r="J148" s="446"/>
      <c r="K148" s="446"/>
      <c r="L148" s="446"/>
    </row>
    <row r="149" spans="2:12" x14ac:dyDescent="0.25">
      <c r="B149" s="9" t="s">
        <v>263</v>
      </c>
      <c r="C149" s="446">
        <f t="shared" ref="C149:G149" si="153">INDEX($C126:$L126, MATCH(C$139, $C$121:$L$121, 0))</f>
        <v>388</v>
      </c>
      <c r="D149" s="446">
        <f t="shared" si="153"/>
        <v>491</v>
      </c>
      <c r="E149" s="446">
        <f t="shared" si="153"/>
        <v>412</v>
      </c>
      <c r="F149" s="446">
        <f t="shared" si="153"/>
        <v>392</v>
      </c>
      <c r="G149" s="446">
        <f t="shared" si="153"/>
        <v>384</v>
      </c>
      <c r="H149" s="446"/>
      <c r="I149" s="446"/>
      <c r="J149" s="446"/>
      <c r="K149" s="446"/>
      <c r="L149" s="446"/>
    </row>
    <row r="150" spans="2:12" x14ac:dyDescent="0.25">
      <c r="B150" s="9" t="s">
        <v>218</v>
      </c>
      <c r="C150" s="446">
        <f t="shared" ref="C150:G150" si="154">INDEX($C127:$L127, MATCH(C$139, $C$121:$L$121, 0))</f>
        <v>527</v>
      </c>
      <c r="D150" s="446">
        <f t="shared" si="154"/>
        <v>684</v>
      </c>
      <c r="E150" s="446">
        <f t="shared" si="154"/>
        <v>727</v>
      </c>
      <c r="F150" s="446">
        <f t="shared" si="154"/>
        <v>641</v>
      </c>
      <c r="G150" s="446">
        <f t="shared" si="154"/>
        <v>754</v>
      </c>
      <c r="H150" s="446"/>
      <c r="I150" s="446"/>
      <c r="J150" s="446"/>
      <c r="K150" s="446"/>
      <c r="L150" s="446"/>
    </row>
    <row r="151" spans="2:12" x14ac:dyDescent="0.25">
      <c r="B151" s="9" t="s">
        <v>250</v>
      </c>
      <c r="C151" s="446">
        <f t="shared" ref="C151:G151" si="155">INDEX($C128:$L128, MATCH(C$139, $C$121:$L$121, 0))</f>
        <v>218</v>
      </c>
      <c r="D151" s="446">
        <f t="shared" si="155"/>
        <v>168</v>
      </c>
      <c r="E151" s="446">
        <f t="shared" si="155"/>
        <v>335</v>
      </c>
      <c r="F151" s="446">
        <f t="shared" si="155"/>
        <v>263</v>
      </c>
      <c r="G151" s="446">
        <f t="shared" si="155"/>
        <v>294</v>
      </c>
      <c r="H151" s="446"/>
      <c r="I151" s="446"/>
      <c r="J151" s="446"/>
      <c r="K151" s="446"/>
      <c r="L151" s="446"/>
    </row>
    <row r="152" spans="2:12" x14ac:dyDescent="0.25">
      <c r="B152" s="9"/>
      <c r="C152" s="446"/>
      <c r="D152" s="446"/>
      <c r="E152" s="446"/>
      <c r="F152" s="446"/>
      <c r="G152" s="446"/>
      <c r="H152" s="446"/>
      <c r="I152" s="446"/>
      <c r="J152" s="446"/>
      <c r="K152" s="446"/>
      <c r="L152" s="446"/>
    </row>
    <row r="153" spans="2:12" x14ac:dyDescent="0.25">
      <c r="B153" s="9"/>
      <c r="C153" s="446"/>
      <c r="D153" s="446"/>
      <c r="E153" s="446"/>
      <c r="F153" s="446"/>
      <c r="G153" s="446"/>
      <c r="H153" s="446"/>
      <c r="I153" s="446"/>
      <c r="J153" s="446"/>
      <c r="K153" s="446"/>
      <c r="L153" s="446"/>
    </row>
    <row r="154" spans="2:12" x14ac:dyDescent="0.25">
      <c r="B154" s="9"/>
      <c r="C154" s="446"/>
      <c r="D154" s="446"/>
      <c r="E154" s="446"/>
      <c r="F154" s="446"/>
      <c r="G154" s="446"/>
      <c r="H154" s="446"/>
      <c r="I154" s="446"/>
      <c r="J154" s="446"/>
      <c r="K154" s="446"/>
      <c r="L154" s="446"/>
    </row>
    <row r="155" spans="2:12" x14ac:dyDescent="0.25">
      <c r="B155" s="9"/>
      <c r="C155" s="246"/>
      <c r="D155" s="246"/>
      <c r="E155" s="246"/>
      <c r="F155" s="246"/>
      <c r="G155" s="246"/>
      <c r="H155" s="178"/>
      <c r="I155" s="178"/>
      <c r="J155" s="178"/>
      <c r="K155" s="178"/>
      <c r="L155" s="178"/>
    </row>
    <row r="156" spans="2:12" x14ac:dyDescent="0.25">
      <c r="B156" s="9"/>
      <c r="C156" s="246"/>
      <c r="D156" s="246"/>
      <c r="E156" s="246"/>
      <c r="F156" s="246"/>
      <c r="G156" s="246"/>
      <c r="H156" s="178"/>
      <c r="I156" s="178"/>
      <c r="J156" s="178"/>
      <c r="K156" s="178"/>
      <c r="L156" s="178"/>
    </row>
    <row r="157" spans="2:12" x14ac:dyDescent="0.25">
      <c r="B157" s="1" t="s">
        <v>374</v>
      </c>
    </row>
    <row r="158" spans="2:12" x14ac:dyDescent="0.25">
      <c r="B158" t="s">
        <v>282</v>
      </c>
      <c r="C158" t="s">
        <v>298</v>
      </c>
    </row>
    <row r="159" spans="2:12" x14ac:dyDescent="0.25">
      <c r="B159" t="s">
        <v>295</v>
      </c>
      <c r="C159">
        <v>2017</v>
      </c>
      <c r="F159">
        <v>2016</v>
      </c>
      <c r="G159">
        <v>2015</v>
      </c>
      <c r="H159">
        <v>2014</v>
      </c>
      <c r="I159">
        <v>2013</v>
      </c>
    </row>
    <row r="160" spans="2:12" x14ac:dyDescent="0.25">
      <c r="B160" s="1" t="s">
        <v>368</v>
      </c>
      <c r="C160">
        <f>H124</f>
        <v>2391</v>
      </c>
      <c r="F160">
        <f>I124</f>
        <v>1982</v>
      </c>
      <c r="G160">
        <f>J124</f>
        <v>2110</v>
      </c>
      <c r="H160">
        <f>K124</f>
        <v>2568</v>
      </c>
      <c r="I160">
        <f>L124</f>
        <v>2174</v>
      </c>
    </row>
    <row r="161" spans="2:12" x14ac:dyDescent="0.25">
      <c r="B161" t="s">
        <v>369</v>
      </c>
      <c r="C161">
        <f>H130</f>
        <v>55</v>
      </c>
      <c r="F161">
        <f>I130</f>
        <v>17</v>
      </c>
      <c r="G161">
        <f>J130</f>
        <v>-20</v>
      </c>
      <c r="H161">
        <f>K130</f>
        <v>-70</v>
      </c>
      <c r="I161">
        <f>L130</f>
        <v>-14</v>
      </c>
    </row>
    <row r="162" spans="2:12" x14ac:dyDescent="0.25">
      <c r="B162" s="1" t="s">
        <v>370</v>
      </c>
      <c r="C162">
        <f>C160+C161</f>
        <v>2446</v>
      </c>
      <c r="F162">
        <f t="shared" ref="F162:I162" si="156">F160+F161</f>
        <v>1999</v>
      </c>
      <c r="G162">
        <f t="shared" si="156"/>
        <v>2090</v>
      </c>
      <c r="H162">
        <f t="shared" si="156"/>
        <v>2498</v>
      </c>
      <c r="I162">
        <f t="shared" si="156"/>
        <v>2160</v>
      </c>
    </row>
    <row r="163" spans="2:12" x14ac:dyDescent="0.25">
      <c r="B163" t="s">
        <v>371</v>
      </c>
      <c r="C163">
        <f>'Income Statement (Y)'!H20</f>
        <v>81</v>
      </c>
      <c r="F163">
        <f>'Income Statement (Y)'!I20</f>
        <v>69</v>
      </c>
      <c r="G163">
        <f>'Income Statement (Y)'!J20</f>
        <v>65</v>
      </c>
      <c r="H163">
        <f>'Income Statement (Y)'!K20</f>
        <v>64</v>
      </c>
      <c r="I163">
        <f>'Income Statement (Y)'!L20</f>
        <v>41</v>
      </c>
    </row>
    <row r="164" spans="2:12" x14ac:dyDescent="0.25">
      <c r="B164" s="1" t="s">
        <v>312</v>
      </c>
      <c r="C164">
        <f>C162-C163</f>
        <v>2365</v>
      </c>
      <c r="F164">
        <f t="shared" ref="F164:I164" si="157">F162-F163</f>
        <v>1930</v>
      </c>
      <c r="G164">
        <f t="shared" si="157"/>
        <v>2025</v>
      </c>
      <c r="H164">
        <f t="shared" si="157"/>
        <v>2434</v>
      </c>
      <c r="I164">
        <f t="shared" si="157"/>
        <v>2119</v>
      </c>
    </row>
    <row r="165" spans="2:12" x14ac:dyDescent="0.25">
      <c r="B165" t="s">
        <v>372</v>
      </c>
      <c r="C165">
        <f>'Income Statement (Y)'!H31</f>
        <v>1371</v>
      </c>
      <c r="F165">
        <f>'Income Statement (Y)'!I31</f>
        <v>474</v>
      </c>
      <c r="G165">
        <f>'Income Statement (Y)'!J31</f>
        <v>555</v>
      </c>
      <c r="H165">
        <f>'Income Statement (Y)'!K31</f>
        <v>698</v>
      </c>
      <c r="I165">
        <f>'Income Statement (Y)'!L31</f>
        <v>531</v>
      </c>
    </row>
    <row r="166" spans="2:12" x14ac:dyDescent="0.25">
      <c r="B166" s="1" t="s">
        <v>314</v>
      </c>
      <c r="C166">
        <f>C164-C165</f>
        <v>994</v>
      </c>
      <c r="F166">
        <f t="shared" ref="F166:I166" si="158">F164-F165</f>
        <v>1456</v>
      </c>
      <c r="G166">
        <f t="shared" si="158"/>
        <v>1470</v>
      </c>
      <c r="H166">
        <f t="shared" si="158"/>
        <v>1736</v>
      </c>
      <c r="I166">
        <f t="shared" si="158"/>
        <v>1588</v>
      </c>
    </row>
    <row r="167" spans="2:12" x14ac:dyDescent="0.25">
      <c r="B167" t="s">
        <v>851</v>
      </c>
      <c r="C167">
        <f>C175</f>
        <v>-5</v>
      </c>
      <c r="F167">
        <f>F175</f>
        <v>62</v>
      </c>
      <c r="G167">
        <f>G175</f>
        <v>71</v>
      </c>
      <c r="H167">
        <f>H175</f>
        <v>85</v>
      </c>
      <c r="I167">
        <f>I175</f>
        <v>105</v>
      </c>
    </row>
    <row r="169" spans="2:12" x14ac:dyDescent="0.25">
      <c r="B169" s="1" t="s">
        <v>373</v>
      </c>
      <c r="C169">
        <f>C166-C167</f>
        <v>999</v>
      </c>
      <c r="F169">
        <f t="shared" ref="F169:I169" si="159">F166-F167</f>
        <v>1394</v>
      </c>
      <c r="G169">
        <f t="shared" si="159"/>
        <v>1399</v>
      </c>
      <c r="H169">
        <f t="shared" si="159"/>
        <v>1651</v>
      </c>
      <c r="I169">
        <f t="shared" si="159"/>
        <v>1483</v>
      </c>
    </row>
    <row r="172" spans="2:12" x14ac:dyDescent="0.25">
      <c r="B172" s="1" t="s">
        <v>850</v>
      </c>
      <c r="C172" s="246"/>
      <c r="D172" s="246"/>
      <c r="E172" s="246"/>
      <c r="F172" s="246"/>
      <c r="G172" s="246"/>
      <c r="H172" s="178"/>
      <c r="I172" s="178"/>
      <c r="J172" s="178"/>
      <c r="K172" s="178"/>
      <c r="L172" s="178"/>
    </row>
    <row r="173" spans="2:12" x14ac:dyDescent="0.25">
      <c r="B173" t="s">
        <v>371</v>
      </c>
      <c r="C173" s="246">
        <v>81</v>
      </c>
      <c r="D173" s="246"/>
      <c r="E173" s="246"/>
      <c r="F173" s="246">
        <v>69</v>
      </c>
      <c r="G173" s="246">
        <v>65</v>
      </c>
      <c r="H173" s="178">
        <v>64</v>
      </c>
      <c r="I173" s="178">
        <v>41</v>
      </c>
    </row>
    <row r="174" spans="2:12" x14ac:dyDescent="0.25">
      <c r="B174" t="s">
        <v>372</v>
      </c>
      <c r="C174" s="246">
        <v>1371</v>
      </c>
      <c r="D174" s="246"/>
      <c r="E174" s="246"/>
      <c r="F174" s="246">
        <v>474</v>
      </c>
      <c r="G174" s="246">
        <v>555</v>
      </c>
      <c r="H174" s="178">
        <v>698</v>
      </c>
      <c r="I174" s="178">
        <v>531</v>
      </c>
    </row>
    <row r="175" spans="2:12" x14ac:dyDescent="0.25">
      <c r="B175" t="s">
        <v>851</v>
      </c>
      <c r="C175" s="246">
        <v>-5</v>
      </c>
      <c r="D175" s="246"/>
      <c r="E175" s="246"/>
      <c r="F175" s="246">
        <v>62</v>
      </c>
      <c r="G175" s="246">
        <v>71</v>
      </c>
      <c r="H175" s="178">
        <v>85</v>
      </c>
      <c r="I175" s="178">
        <v>105</v>
      </c>
    </row>
    <row r="178" spans="2:9" x14ac:dyDescent="0.25">
      <c r="B178" t="s">
        <v>943</v>
      </c>
      <c r="C178">
        <f>SUM(C179:C183)</f>
        <v>17777</v>
      </c>
      <c r="F178">
        <f t="shared" ref="F178:I178" si="160">SUM(F179:F183)</f>
        <v>15348</v>
      </c>
      <c r="G178">
        <f t="shared" si="160"/>
        <v>16814</v>
      </c>
      <c r="H178">
        <f t="shared" si="160"/>
        <v>16851</v>
      </c>
      <c r="I178">
        <f t="shared" si="160"/>
        <v>15335</v>
      </c>
    </row>
    <row r="179" spans="2:9" x14ac:dyDescent="0.25">
      <c r="B179" s="9" t="s">
        <v>225</v>
      </c>
      <c r="C179">
        <f>H80</f>
        <v>5768</v>
      </c>
      <c r="F179">
        <f>I80</f>
        <v>5166</v>
      </c>
      <c r="G179">
        <f>J80</f>
        <v>6214</v>
      </c>
      <c r="H179">
        <f>K80</f>
        <v>7503</v>
      </c>
      <c r="I179">
        <f>L80</f>
        <v>7509</v>
      </c>
    </row>
    <row r="180" spans="2:9" x14ac:dyDescent="0.25">
      <c r="B180" s="9" t="s">
        <v>263</v>
      </c>
      <c r="C180">
        <f>W80</f>
        <v>6676</v>
      </c>
      <c r="F180">
        <f>X80</f>
        <v>5822</v>
      </c>
      <c r="G180">
        <f>Y80</f>
        <v>5854</v>
      </c>
      <c r="H180">
        <f>Z80</f>
        <v>4783</v>
      </c>
      <c r="I180">
        <f>AA80</f>
        <v>3497</v>
      </c>
    </row>
    <row r="181" spans="2:9" x14ac:dyDescent="0.25">
      <c r="B181" s="9" t="s">
        <v>218</v>
      </c>
      <c r="C181">
        <f>H101</f>
        <v>3412</v>
      </c>
      <c r="F181">
        <f>I101</f>
        <v>2706</v>
      </c>
      <c r="G181">
        <f>J101</f>
        <v>2817</v>
      </c>
      <c r="H181">
        <f>K101</f>
        <v>2913</v>
      </c>
      <c r="I181">
        <f>L101</f>
        <v>2434</v>
      </c>
    </row>
    <row r="182" spans="2:9" x14ac:dyDescent="0.25">
      <c r="B182" s="9" t="s">
        <v>250</v>
      </c>
      <c r="C182">
        <f>W101</f>
        <v>1921</v>
      </c>
      <c r="F182">
        <f>X101</f>
        <v>1654</v>
      </c>
      <c r="G182">
        <f>Y101</f>
        <v>1929</v>
      </c>
      <c r="H182">
        <f>Z101</f>
        <v>1652</v>
      </c>
      <c r="I182">
        <f>AA101</f>
        <v>1895</v>
      </c>
    </row>
    <row r="183" spans="2:9" x14ac:dyDescent="0.25">
      <c r="C183" t="s">
        <v>282</v>
      </c>
      <c r="F183" t="s">
        <v>282</v>
      </c>
    </row>
    <row r="184" spans="2:9" x14ac:dyDescent="0.25">
      <c r="B184" s="9" t="s">
        <v>855</v>
      </c>
      <c r="C184">
        <f>'Income Statement (Y)'!H3+'Income Statement (Y)'!H6</f>
        <v>17728</v>
      </c>
      <c r="F184">
        <f>'Income Statement (Y)'!I3+'Income Statement (Y)'!I6</f>
        <v>15103</v>
      </c>
      <c r="G184">
        <f>'Income Statement (Y)'!J3+'Income Statement (Y)'!J6</f>
        <v>16255</v>
      </c>
      <c r="H184">
        <f>'Income Statement (Y)'!K3+'Income Statement (Y)'!K6</f>
        <v>16455</v>
      </c>
      <c r="I184">
        <f>'Income Statement (Y)'!L3+'Income Statement (Y)'!L6</f>
        <v>14838</v>
      </c>
    </row>
    <row r="185" spans="2:9" x14ac:dyDescent="0.25">
      <c r="C185" t="s">
        <v>282</v>
      </c>
      <c r="F185" t="s">
        <v>282</v>
      </c>
      <c r="I185" t="s">
        <v>282</v>
      </c>
    </row>
    <row r="186" spans="2:9" x14ac:dyDescent="0.25">
      <c r="B186" s="9" t="s">
        <v>856</v>
      </c>
      <c r="C186">
        <f>C184-C178</f>
        <v>-49</v>
      </c>
      <c r="F186">
        <f t="shared" ref="F186:I186" si="161">F184-F178</f>
        <v>-245</v>
      </c>
      <c r="G186">
        <f t="shared" si="161"/>
        <v>-559</v>
      </c>
      <c r="H186">
        <f t="shared" si="161"/>
        <v>-396</v>
      </c>
      <c r="I186">
        <f t="shared" si="161"/>
        <v>-497</v>
      </c>
    </row>
    <row r="187" spans="2:9" x14ac:dyDescent="0.25">
      <c r="C187" s="3">
        <f>-C186/C184</f>
        <v>2.7639891696750901E-3</v>
      </c>
      <c r="D187" s="3"/>
      <c r="E187" s="3"/>
      <c r="F187" s="3">
        <f>-F186/F184</f>
        <v>1.6221942660398597E-2</v>
      </c>
      <c r="G187" s="3">
        <f>-G186/G184</f>
        <v>3.4389418640418334E-2</v>
      </c>
      <c r="H187" s="3">
        <f>-H186/H184</f>
        <v>2.4065633546034641E-2</v>
      </c>
      <c r="I187" s="3">
        <f>-I186/I184</f>
        <v>3.3495080199487805E-2</v>
      </c>
    </row>
    <row r="190" spans="2:9" x14ac:dyDescent="0.25">
      <c r="B190" s="1" t="s">
        <v>239</v>
      </c>
    </row>
    <row r="191" spans="2:9" x14ac:dyDescent="0.25">
      <c r="B191" t="s">
        <v>237</v>
      </c>
      <c r="C191" s="2">
        <v>737</v>
      </c>
      <c r="D191" s="2">
        <v>616</v>
      </c>
      <c r="E191" s="2">
        <v>718</v>
      </c>
    </row>
    <row r="192" spans="2:9" x14ac:dyDescent="0.25">
      <c r="B192" t="s">
        <v>236</v>
      </c>
      <c r="C192" s="2">
        <v>137</v>
      </c>
      <c r="D192" s="2">
        <v>131</v>
      </c>
      <c r="E192" s="2">
        <v>98</v>
      </c>
    </row>
    <row r="193" spans="2:5" x14ac:dyDescent="0.25">
      <c r="B193" t="s">
        <v>238</v>
      </c>
      <c r="C193" s="2">
        <f>C192+C191</f>
        <v>874</v>
      </c>
      <c r="D193" s="2">
        <f>D192+D191</f>
        <v>747</v>
      </c>
      <c r="E193" s="2">
        <f>E192+E191</f>
        <v>816</v>
      </c>
    </row>
    <row r="195" spans="2:5" x14ac:dyDescent="0.25">
      <c r="B195" t="s">
        <v>240</v>
      </c>
      <c r="C195" s="2">
        <v>10</v>
      </c>
      <c r="D195" s="2">
        <v>77</v>
      </c>
      <c r="E195" s="2">
        <v>90</v>
      </c>
    </row>
    <row r="196" spans="2:5" x14ac:dyDescent="0.25">
      <c r="C196" s="3">
        <f>C195/C191</f>
        <v>1.3568521031207599E-2</v>
      </c>
      <c r="D196" s="3">
        <f>D195/D191</f>
        <v>0.125</v>
      </c>
      <c r="E196" s="3">
        <f>E195/E191</f>
        <v>0.12534818941504178</v>
      </c>
    </row>
  </sheetData>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2274F-FE90-4835-A071-5286360EB9AB}">
  <sheetPr codeName="Sheet18">
    <tabColor theme="8" tint="0.39997558519241921"/>
  </sheetPr>
  <dimension ref="A1:U66"/>
  <sheetViews>
    <sheetView topLeftCell="A52" workbookViewId="0"/>
  </sheetViews>
  <sheetFormatPr defaultRowHeight="15" x14ac:dyDescent="0.25"/>
  <cols>
    <col min="2" max="2" width="28.85546875" bestFit="1" customWidth="1"/>
    <col min="8" max="8" width="14.42578125" customWidth="1"/>
    <col min="9" max="9" width="18.5703125" bestFit="1" customWidth="1"/>
  </cols>
  <sheetData>
    <row r="1" spans="1:21" x14ac:dyDescent="0.25">
      <c r="B1" s="1" t="s">
        <v>211</v>
      </c>
    </row>
    <row r="3" spans="1:21" x14ac:dyDescent="0.25">
      <c r="C3" s="209">
        <v>2017</v>
      </c>
      <c r="D3" s="209">
        <v>2016</v>
      </c>
      <c r="E3" s="209">
        <v>2015</v>
      </c>
      <c r="F3" s="209">
        <v>2014</v>
      </c>
      <c r="G3" s="209">
        <v>2013</v>
      </c>
      <c r="L3" t="s">
        <v>282</v>
      </c>
      <c r="M3" t="s">
        <v>298</v>
      </c>
    </row>
    <row r="4" spans="1:21" x14ac:dyDescent="0.25">
      <c r="B4" t="s">
        <v>1301</v>
      </c>
      <c r="C4" s="394">
        <f>SUBTOTAL(9,C5:C9)</f>
        <v>8953</v>
      </c>
      <c r="D4" s="394">
        <f t="shared" ref="D4:G4" si="0">SUBTOTAL(9,D5:D9)</f>
        <v>7804</v>
      </c>
      <c r="E4" s="394">
        <f t="shared" si="0"/>
        <v>8670</v>
      </c>
      <c r="F4" s="394">
        <f t="shared" si="0"/>
        <v>10962</v>
      </c>
      <c r="G4" s="394">
        <f t="shared" si="0"/>
        <v>10013</v>
      </c>
      <c r="L4" t="s">
        <v>282</v>
      </c>
      <c r="M4">
        <v>2017</v>
      </c>
      <c r="N4">
        <v>2016</v>
      </c>
      <c r="O4">
        <v>2015</v>
      </c>
      <c r="Q4">
        <v>2015</v>
      </c>
      <c r="R4">
        <v>2014</v>
      </c>
      <c r="S4">
        <v>2013</v>
      </c>
    </row>
    <row r="5" spans="1:21" x14ac:dyDescent="0.25">
      <c r="B5" s="9" t="s">
        <v>343</v>
      </c>
      <c r="C5" s="128">
        <f>SUBTOTAL(9,C6:C8)</f>
        <v>7080</v>
      </c>
      <c r="D5" s="394">
        <f t="shared" ref="D5:G5" si="1">SUBTOTAL(9,D6:D8)</f>
        <v>6296</v>
      </c>
      <c r="E5" s="394">
        <f t="shared" si="1"/>
        <v>7098</v>
      </c>
      <c r="F5" s="394">
        <f t="shared" si="1"/>
        <v>7070</v>
      </c>
      <c r="G5" s="394">
        <f t="shared" si="1"/>
        <v>6147</v>
      </c>
      <c r="L5" t="s">
        <v>345</v>
      </c>
      <c r="M5">
        <v>95900</v>
      </c>
      <c r="N5">
        <v>79000</v>
      </c>
      <c r="O5">
        <v>114400</v>
      </c>
      <c r="Q5">
        <v>456400</v>
      </c>
      <c r="R5">
        <v>471200</v>
      </c>
      <c r="S5">
        <v>446000</v>
      </c>
    </row>
    <row r="6" spans="1:21" x14ac:dyDescent="0.25">
      <c r="B6" s="179" t="s">
        <v>340</v>
      </c>
      <c r="C6" s="128">
        <v>2840</v>
      </c>
      <c r="D6" s="128">
        <v>2443</v>
      </c>
      <c r="E6" s="128">
        <v>3116</v>
      </c>
      <c r="F6" s="128">
        <v>3072</v>
      </c>
      <c r="G6" s="128">
        <v>2618</v>
      </c>
      <c r="L6" t="s">
        <v>346</v>
      </c>
      <c r="M6">
        <v>268100</v>
      </c>
      <c r="N6">
        <v>229100</v>
      </c>
      <c r="O6">
        <v>247100</v>
      </c>
      <c r="Q6">
        <v>114400</v>
      </c>
      <c r="R6">
        <v>122100</v>
      </c>
      <c r="S6">
        <v>105400</v>
      </c>
    </row>
    <row r="7" spans="1:21" x14ac:dyDescent="0.25">
      <c r="B7" s="179" t="s">
        <v>341</v>
      </c>
      <c r="C7" s="128">
        <v>2513</v>
      </c>
      <c r="D7" s="128">
        <v>2272</v>
      </c>
      <c r="E7" s="128">
        <v>2507</v>
      </c>
      <c r="F7" s="128">
        <v>2431</v>
      </c>
      <c r="G7" s="128">
        <v>2064</v>
      </c>
      <c r="L7" t="s">
        <v>347</v>
      </c>
      <c r="M7">
        <v>257500</v>
      </c>
      <c r="N7">
        <v>228600</v>
      </c>
      <c r="O7">
        <v>209300</v>
      </c>
      <c r="Q7">
        <v>13800</v>
      </c>
      <c r="R7">
        <v>14800</v>
      </c>
      <c r="S7">
        <v>14800</v>
      </c>
    </row>
    <row r="8" spans="1:21" x14ac:dyDescent="0.25">
      <c r="B8" s="179" t="s">
        <v>342</v>
      </c>
      <c r="C8" s="128">
        <v>1727</v>
      </c>
      <c r="D8" s="128">
        <v>1581</v>
      </c>
      <c r="E8" s="128">
        <v>1475</v>
      </c>
      <c r="F8" s="128">
        <v>1567</v>
      </c>
      <c r="G8" s="128">
        <v>1465</v>
      </c>
      <c r="L8" t="s">
        <v>348</v>
      </c>
      <c r="M8">
        <v>621500</v>
      </c>
      <c r="N8">
        <v>536700</v>
      </c>
      <c r="O8">
        <v>570800</v>
      </c>
      <c r="Q8">
        <v>584600</v>
      </c>
      <c r="R8">
        <v>608100</v>
      </c>
      <c r="S8">
        <v>566200</v>
      </c>
    </row>
    <row r="9" spans="1:21" x14ac:dyDescent="0.25">
      <c r="B9" s="9" t="s">
        <v>344</v>
      </c>
      <c r="C9" s="128">
        <v>1873</v>
      </c>
      <c r="D9" s="128">
        <v>1508</v>
      </c>
      <c r="E9" s="128">
        <v>1572</v>
      </c>
      <c r="F9" s="128">
        <f>SUM(F13:F14)</f>
        <v>3892</v>
      </c>
      <c r="G9" s="128">
        <f>SUM(G13:G14)</f>
        <v>3866</v>
      </c>
      <c r="M9" t="s">
        <v>282</v>
      </c>
      <c r="R9" t="s">
        <v>282</v>
      </c>
    </row>
    <row r="10" spans="1:21" x14ac:dyDescent="0.25">
      <c r="A10">
        <v>6</v>
      </c>
      <c r="L10" t="s">
        <v>845</v>
      </c>
    </row>
    <row r="11" spans="1:21" x14ac:dyDescent="0.25">
      <c r="L11" t="s">
        <v>345</v>
      </c>
    </row>
    <row r="12" spans="1:21" x14ac:dyDescent="0.25">
      <c r="B12" s="9" t="s">
        <v>344</v>
      </c>
      <c r="L12" t="s">
        <v>846</v>
      </c>
      <c r="U12" t="s">
        <v>1302</v>
      </c>
    </row>
    <row r="13" spans="1:21" x14ac:dyDescent="0.25">
      <c r="B13" t="s">
        <v>282</v>
      </c>
      <c r="D13" t="s">
        <v>365</v>
      </c>
      <c r="E13">
        <v>2458</v>
      </c>
      <c r="F13">
        <v>2951</v>
      </c>
      <c r="G13">
        <v>2921</v>
      </c>
      <c r="L13" t="s">
        <v>348</v>
      </c>
      <c r="U13" t="s">
        <v>1292</v>
      </c>
    </row>
    <row r="14" spans="1:21" x14ac:dyDescent="0.25">
      <c r="D14" t="s">
        <v>847</v>
      </c>
      <c r="E14">
        <v>893</v>
      </c>
      <c r="F14">
        <v>941</v>
      </c>
      <c r="G14">
        <v>945</v>
      </c>
      <c r="U14" t="s">
        <v>1293</v>
      </c>
    </row>
    <row r="15" spans="1:21" x14ac:dyDescent="0.25">
      <c r="U15" t="s">
        <v>1294</v>
      </c>
    </row>
    <row r="16" spans="1:21" x14ac:dyDescent="0.25">
      <c r="B16" s="1" t="s">
        <v>214</v>
      </c>
      <c r="U16" t="s">
        <v>1295</v>
      </c>
    </row>
    <row r="17" spans="2:21" x14ac:dyDescent="0.25">
      <c r="U17" t="s">
        <v>1296</v>
      </c>
    </row>
    <row r="18" spans="2:21" x14ac:dyDescent="0.25">
      <c r="B18" t="s">
        <v>282</v>
      </c>
      <c r="C18" t="s">
        <v>298</v>
      </c>
      <c r="H18" t="s">
        <v>1332</v>
      </c>
      <c r="I18" t="s">
        <v>1010</v>
      </c>
      <c r="J18" t="s">
        <v>296</v>
      </c>
      <c r="U18" t="s">
        <v>1297</v>
      </c>
    </row>
    <row r="19" spans="2:21" x14ac:dyDescent="0.25">
      <c r="B19" t="s">
        <v>295</v>
      </c>
      <c r="C19" s="398">
        <v>2017</v>
      </c>
      <c r="D19" s="398">
        <v>2016</v>
      </c>
      <c r="E19" s="398">
        <v>2015</v>
      </c>
      <c r="I19" s="398">
        <v>2017</v>
      </c>
      <c r="K19" t="s">
        <v>1303</v>
      </c>
      <c r="U19" t="s">
        <v>1298</v>
      </c>
    </row>
    <row r="20" spans="2:21" x14ac:dyDescent="0.25">
      <c r="B20" t="s">
        <v>352</v>
      </c>
      <c r="C20" s="398">
        <f>SUBTOTAL(9,C21:C22)</f>
        <v>4733</v>
      </c>
      <c r="D20" s="398">
        <f>SUBTOTAL(9,D21:D22)</f>
        <v>3973</v>
      </c>
      <c r="E20" s="398">
        <f>SUBTOTAL(9,E21:E22)</f>
        <v>3957</v>
      </c>
      <c r="I20" s="446"/>
      <c r="J20" s="214">
        <f t="shared" ref="J20:J29" si="2">C20/C$30</f>
        <v>0.67058656843298381</v>
      </c>
      <c r="K20" s="214">
        <f t="shared" ref="K20:K29" si="3">D20/D$30</f>
        <v>0.64277624979776737</v>
      </c>
      <c r="L20" s="214">
        <f t="shared" ref="L20:L29" si="4">E20/E$30</f>
        <v>0.63525445496869481</v>
      </c>
    </row>
    <row r="21" spans="2:21" x14ac:dyDescent="0.25">
      <c r="B21" s="9" t="s">
        <v>1117</v>
      </c>
      <c r="C21" s="216">
        <v>3811.32</v>
      </c>
      <c r="D21" s="216">
        <v>3337.7400000000002</v>
      </c>
      <c r="E21" s="216">
        <v>3488.2400000000002</v>
      </c>
      <c r="H21" s="419">
        <f>J21/I21</f>
        <v>1.4543181818181818</v>
      </c>
      <c r="I21" s="214">
        <f>INDEX('Misc data'!$I$110:$I$133, MATCH(B21, 'Misc data'!$D$110:$D$133, 0), 1)</f>
        <v>0.37130801687763715</v>
      </c>
      <c r="J21" s="214">
        <f t="shared" si="2"/>
        <v>0.54</v>
      </c>
      <c r="K21" s="214">
        <f t="shared" si="3"/>
        <v>0.54</v>
      </c>
      <c r="L21" s="214">
        <f t="shared" si="4"/>
        <v>0.56000000000000005</v>
      </c>
      <c r="O21" t="s">
        <v>1304</v>
      </c>
      <c r="U21" t="s">
        <v>1299</v>
      </c>
    </row>
    <row r="22" spans="2:21" x14ac:dyDescent="0.25">
      <c r="B22" s="9" t="s">
        <v>1306</v>
      </c>
      <c r="C22" s="216">
        <v>921.67999999999984</v>
      </c>
      <c r="D22" s="216">
        <v>635.25999999999976</v>
      </c>
      <c r="E22" s="216">
        <v>468.75999999999976</v>
      </c>
      <c r="H22" s="419">
        <f t="shared" ref="H22:H29" si="5">J22/I22</f>
        <v>2.1197956656587098</v>
      </c>
      <c r="I22" s="214">
        <f>INDEX('Misc data'!$I$110:$I$133, MATCH(B22, 'Misc data'!$D$110:$D$133, 0), 1)</f>
        <v>6.1603375527426167E-2</v>
      </c>
      <c r="J22" s="214">
        <f t="shared" si="2"/>
        <v>0.13058656843298383</v>
      </c>
      <c r="K22" s="214">
        <f t="shared" si="3"/>
        <v>0.10277624979776731</v>
      </c>
      <c r="L22" s="214">
        <f t="shared" si="4"/>
        <v>7.5254454968694776E-2</v>
      </c>
      <c r="U22" t="s">
        <v>1300</v>
      </c>
    </row>
    <row r="23" spans="2:21" x14ac:dyDescent="0.25">
      <c r="B23" t="s">
        <v>353</v>
      </c>
      <c r="C23" s="398">
        <v>767</v>
      </c>
      <c r="D23" s="398">
        <v>720</v>
      </c>
      <c r="E23" s="398">
        <v>763</v>
      </c>
      <c r="H23" s="419">
        <f t="shared" si="5"/>
        <v>1.3140321302791447</v>
      </c>
      <c r="I23" s="214">
        <f>INDEX('Misc data'!$I$110:$I$133, MATCH(B23, 'Misc data'!$D$110:$D$133, 0), 1)</f>
        <v>8.2700421940928276E-2</v>
      </c>
      <c r="J23" s="214">
        <f t="shared" si="2"/>
        <v>0.1086710116180221</v>
      </c>
      <c r="K23" s="214">
        <f t="shared" si="3"/>
        <v>0.11648600550072803</v>
      </c>
      <c r="L23" s="214">
        <f t="shared" si="4"/>
        <v>0.12249157168084765</v>
      </c>
      <c r="P23" t="s">
        <v>1305</v>
      </c>
    </row>
    <row r="24" spans="2:21" x14ac:dyDescent="0.25">
      <c r="B24" t="s">
        <v>354</v>
      </c>
      <c r="C24" s="398">
        <v>440</v>
      </c>
      <c r="D24" s="398">
        <v>440</v>
      </c>
      <c r="E24" s="398">
        <v>426</v>
      </c>
      <c r="H24" s="419">
        <f t="shared" si="5"/>
        <v>0.3657109831130464</v>
      </c>
      <c r="I24" s="214">
        <f>INDEX('Misc data'!$I$110:$I$133, MATCH(B24, 'Misc data'!$D$110:$D$133, 0), 1)</f>
        <v>0.17046413502109703</v>
      </c>
      <c r="J24" s="214">
        <f t="shared" si="2"/>
        <v>6.2340606404080477E-2</v>
      </c>
      <c r="K24" s="214">
        <f t="shared" si="3"/>
        <v>7.1185892250444915E-2</v>
      </c>
      <c r="L24" s="214">
        <f t="shared" si="4"/>
        <v>6.8389789693369729E-2</v>
      </c>
      <c r="N24" t="s">
        <v>225</v>
      </c>
      <c r="O24" s="3">
        <f>CORREL('Segment Earnings'!H71:L71,'Income Statement (Y)'!$H$2:$L$2)</f>
        <v>0.1239906878653223</v>
      </c>
      <c r="P24" s="3">
        <f>'Segment Earnings'!H69/'Income Statement (Y)'!H2</f>
        <v>0.32607205795966321</v>
      </c>
    </row>
    <row r="25" spans="2:21" x14ac:dyDescent="0.25">
      <c r="B25" t="s">
        <v>355</v>
      </c>
      <c r="C25" s="398">
        <v>327</v>
      </c>
      <c r="D25" s="398">
        <v>366</v>
      </c>
      <c r="E25" s="398">
        <v>431</v>
      </c>
      <c r="H25" s="419">
        <f t="shared" si="5"/>
        <v>0.59675576281000897</v>
      </c>
      <c r="I25" s="214">
        <f>INDEX('Misc data'!$I$110:$I$133, MATCH(B25, 'Misc data'!$D$110:$D$133, 0), 1)</f>
        <v>7.763713080168777E-2</v>
      </c>
      <c r="J25" s="214">
        <f t="shared" si="2"/>
        <v>4.6330405213941626E-2</v>
      </c>
      <c r="K25" s="214">
        <f t="shared" si="3"/>
        <v>5.9213719462870087E-2</v>
      </c>
      <c r="L25" s="214">
        <f t="shared" si="4"/>
        <v>6.9192486755498481E-2</v>
      </c>
      <c r="N25" t="s">
        <v>263</v>
      </c>
      <c r="O25" s="3">
        <f>CORREL('Segment Earnings'!W71:AA71,'Income Statement (Y)'!H2:L2)</f>
        <v>0.67227659906303006</v>
      </c>
      <c r="P25" s="3">
        <f>'Segment Earnings'!W69/'Income Statement (Y)'!H2</f>
        <v>0.34408654787546505</v>
      </c>
    </row>
    <row r="26" spans="2:21" x14ac:dyDescent="0.25">
      <c r="B26" t="s">
        <v>256</v>
      </c>
      <c r="C26" s="398">
        <v>267</v>
      </c>
      <c r="D26" s="398">
        <v>235</v>
      </c>
      <c r="E26" s="398">
        <v>224</v>
      </c>
      <c r="H26" s="419">
        <f t="shared" si="5"/>
        <v>0.41507273070747136</v>
      </c>
      <c r="I26" s="214">
        <f>INDEX('Misc data'!$I$110:$I$133, MATCH(B26, 'Misc data'!$D$110:$D$133, 0), 1)</f>
        <v>9.1139240506329128E-2</v>
      </c>
      <c r="J26" s="214">
        <f t="shared" si="2"/>
        <v>3.7829413431567017E-2</v>
      </c>
      <c r="K26" s="214">
        <f t="shared" si="3"/>
        <v>3.8019737906487626E-2</v>
      </c>
      <c r="L26" s="214">
        <f t="shared" si="4"/>
        <v>3.5960828383368115E-2</v>
      </c>
      <c r="N26" t="s">
        <v>218</v>
      </c>
      <c r="O26" s="3">
        <f>CORREL('Segment Earnings'!H92:L92,'Income Statement (Y)'!$H$2:$L$2)</f>
        <v>0.94635142039415743</v>
      </c>
      <c r="P26" s="3">
        <f>'Segment Earnings'!H90/'Income Statement (Y)'!H2</f>
        <v>0.21357940082240062</v>
      </c>
    </row>
    <row r="27" spans="2:21" x14ac:dyDescent="0.25">
      <c r="B27" t="s">
        <v>235</v>
      </c>
      <c r="C27" s="398">
        <v>190</v>
      </c>
      <c r="D27" s="398">
        <v>175</v>
      </c>
      <c r="E27" s="398">
        <v>165</v>
      </c>
      <c r="H27" s="419">
        <f t="shared" si="5"/>
        <v>0.49843705724001131</v>
      </c>
      <c r="I27" s="214">
        <f>INDEX('Misc data'!$I$110:$I$133, MATCH(B27, 'Misc data'!$D$110:$D$133, 0), 1)</f>
        <v>5.4008438818565409E-2</v>
      </c>
      <c r="J27" s="214">
        <f t="shared" si="2"/>
        <v>2.6919807310852934E-2</v>
      </c>
      <c r="K27" s="214">
        <f t="shared" si="3"/>
        <v>2.8312570781426953E-2</v>
      </c>
      <c r="L27" s="214">
        <f t="shared" si="4"/>
        <v>2.6489003050248837E-2</v>
      </c>
      <c r="N27" t="s">
        <v>250</v>
      </c>
      <c r="O27" s="3">
        <f>CORREL('Segment Earnings'!W92:AA92,'Income Statement (Y)'!$H$2:$L$2)</f>
        <v>0.52731115732702494</v>
      </c>
      <c r="P27" s="3">
        <f>'Segment Earnings'!W90/'Income Statement (Y)'!H2</f>
        <v>0.11626199334247111</v>
      </c>
    </row>
    <row r="28" spans="2:21" x14ac:dyDescent="0.25">
      <c r="B28" t="s">
        <v>273</v>
      </c>
      <c r="C28" s="398">
        <v>167</v>
      </c>
      <c r="D28" s="398">
        <v>123</v>
      </c>
      <c r="E28" s="398">
        <v>108</v>
      </c>
      <c r="H28" s="419">
        <f t="shared" si="5"/>
        <v>0.77884433739491832</v>
      </c>
      <c r="I28" s="214">
        <f>INDEX('Misc data'!$I$110:$I$133, MATCH(B28, 'Misc data'!$D$110:$D$133, 0), 1)</f>
        <v>3.037974683544304E-2</v>
      </c>
      <c r="J28" s="214">
        <f t="shared" si="2"/>
        <v>2.3661093794276E-2</v>
      </c>
      <c r="K28" s="214">
        <f t="shared" si="3"/>
        <v>1.9899692606374374E-2</v>
      </c>
      <c r="L28" s="214">
        <f t="shared" si="4"/>
        <v>1.7338256541981057E-2</v>
      </c>
    </row>
    <row r="29" spans="2:21" x14ac:dyDescent="0.25">
      <c r="B29" t="s">
        <v>356</v>
      </c>
      <c r="C29" s="398">
        <v>167</v>
      </c>
      <c r="D29" s="398">
        <v>149</v>
      </c>
      <c r="E29" s="398">
        <v>155</v>
      </c>
      <c r="H29" s="419">
        <f t="shared" si="5"/>
        <v>0.38942216869745916</v>
      </c>
      <c r="I29" s="214">
        <f>INDEX('Misc data'!$I$110:$I$133, MATCH(B29, 'Misc data'!$D$110:$D$133, 0), 1)</f>
        <v>6.0759493670886081E-2</v>
      </c>
      <c r="J29" s="214">
        <f t="shared" si="2"/>
        <v>2.3661093794276E-2</v>
      </c>
      <c r="K29" s="214">
        <f t="shared" si="3"/>
        <v>2.4106131693900662E-2</v>
      </c>
      <c r="L29" s="214">
        <f t="shared" si="4"/>
        <v>2.488360892599133E-2</v>
      </c>
    </row>
    <row r="30" spans="2:21" x14ac:dyDescent="0.25">
      <c r="B30" t="s">
        <v>335</v>
      </c>
      <c r="C30" s="398">
        <f>SUBTOTAL(9,C20:C29)</f>
        <v>7058</v>
      </c>
      <c r="D30" s="398">
        <f>SUBTOTAL(9,D20:D29)</f>
        <v>6181</v>
      </c>
      <c r="E30" s="398">
        <f>SUBTOTAL(9,E20:E29)</f>
        <v>6229</v>
      </c>
    </row>
    <row r="32" spans="2:21" x14ac:dyDescent="0.25">
      <c r="I32" s="9" t="s">
        <v>1306</v>
      </c>
      <c r="J32">
        <v>0.13058656843298383</v>
      </c>
    </row>
    <row r="33" spans="2:12" x14ac:dyDescent="0.25">
      <c r="I33" t="s">
        <v>353</v>
      </c>
      <c r="J33">
        <v>0.1086710116180221</v>
      </c>
    </row>
    <row r="34" spans="2:12" x14ac:dyDescent="0.25">
      <c r="B34" t="s">
        <v>282</v>
      </c>
      <c r="C34" t="s">
        <v>298</v>
      </c>
      <c r="I34" t="s">
        <v>354</v>
      </c>
      <c r="J34" s="394">
        <v>6.2340606404080477E-2</v>
      </c>
      <c r="K34" s="394"/>
      <c r="L34" s="394"/>
    </row>
    <row r="35" spans="2:12" x14ac:dyDescent="0.25">
      <c r="B35" t="s">
        <v>295</v>
      </c>
      <c r="C35">
        <v>2017</v>
      </c>
      <c r="D35">
        <v>2016</v>
      </c>
      <c r="E35">
        <v>2015</v>
      </c>
      <c r="F35">
        <v>2014</v>
      </c>
      <c r="G35">
        <v>2013</v>
      </c>
      <c r="I35" t="s">
        <v>355</v>
      </c>
      <c r="J35">
        <v>4.6330405213941626E-2</v>
      </c>
    </row>
    <row r="36" spans="2:12" x14ac:dyDescent="0.25">
      <c r="B36" t="s">
        <v>1309</v>
      </c>
      <c r="C36">
        <v>3040</v>
      </c>
      <c r="D36">
        <v>2627</v>
      </c>
      <c r="E36">
        <v>2423</v>
      </c>
      <c r="F36">
        <v>1924</v>
      </c>
      <c r="G36">
        <v>1465</v>
      </c>
      <c r="I36" t="s">
        <v>256</v>
      </c>
      <c r="J36">
        <v>3.7829413431567017E-2</v>
      </c>
    </row>
    <row r="37" spans="2:12" x14ac:dyDescent="0.25">
      <c r="B37" t="s">
        <v>357</v>
      </c>
      <c r="C37">
        <v>1369</v>
      </c>
      <c r="D37">
        <v>1100</v>
      </c>
      <c r="E37">
        <v>1294</v>
      </c>
      <c r="F37">
        <v>1061</v>
      </c>
      <c r="G37">
        <v>713</v>
      </c>
      <c r="I37" t="s">
        <v>235</v>
      </c>
      <c r="J37">
        <v>2.6919807310852934E-2</v>
      </c>
    </row>
    <row r="38" spans="2:12" x14ac:dyDescent="0.25">
      <c r="B38" t="s">
        <v>358</v>
      </c>
      <c r="C38">
        <v>1337</v>
      </c>
      <c r="D38">
        <v>1239</v>
      </c>
      <c r="E38">
        <v>1290</v>
      </c>
      <c r="F38">
        <v>1163</v>
      </c>
      <c r="G38">
        <v>931</v>
      </c>
      <c r="I38" t="s">
        <v>273</v>
      </c>
      <c r="J38">
        <v>2.3661093794276E-2</v>
      </c>
    </row>
    <row r="39" spans="2:12" x14ac:dyDescent="0.25">
      <c r="B39" t="s">
        <v>359</v>
      </c>
      <c r="C39">
        <v>1312</v>
      </c>
      <c r="D39">
        <v>1215</v>
      </c>
      <c r="E39">
        <v>1222</v>
      </c>
      <c r="F39">
        <v>1026</v>
      </c>
      <c r="G39">
        <v>640</v>
      </c>
      <c r="I39" t="s">
        <v>356</v>
      </c>
      <c r="J39">
        <v>2.3661093794276E-2</v>
      </c>
    </row>
    <row r="40" spans="2:12" x14ac:dyDescent="0.25">
      <c r="B40" t="s">
        <v>335</v>
      </c>
      <c r="C40">
        <v>7058</v>
      </c>
      <c r="D40">
        <v>6181</v>
      </c>
      <c r="E40">
        <v>6229</v>
      </c>
    </row>
    <row r="43" spans="2:12" x14ac:dyDescent="0.25">
      <c r="B43" s="1" t="s">
        <v>220</v>
      </c>
    </row>
    <row r="45" spans="2:12" x14ac:dyDescent="0.25">
      <c r="B45" t="s">
        <v>295</v>
      </c>
      <c r="C45">
        <v>2017</v>
      </c>
      <c r="D45">
        <v>2016</v>
      </c>
      <c r="E45">
        <v>2015</v>
      </c>
    </row>
    <row r="46" spans="2:12" x14ac:dyDescent="0.25">
      <c r="B46" t="s">
        <v>360</v>
      </c>
      <c r="C46">
        <v>2675</v>
      </c>
      <c r="D46">
        <v>2238</v>
      </c>
      <c r="E46">
        <v>2449</v>
      </c>
    </row>
    <row r="47" spans="2:12" x14ac:dyDescent="0.25">
      <c r="B47" t="s">
        <v>361</v>
      </c>
      <c r="C47">
        <v>1179</v>
      </c>
      <c r="D47">
        <v>1036</v>
      </c>
      <c r="E47">
        <v>1141</v>
      </c>
    </row>
    <row r="48" spans="2:12" x14ac:dyDescent="0.25">
      <c r="B48" t="s">
        <v>362</v>
      </c>
      <c r="C48">
        <v>1153</v>
      </c>
      <c r="D48">
        <v>1010</v>
      </c>
      <c r="E48">
        <v>1010</v>
      </c>
    </row>
    <row r="49" spans="2:10" x14ac:dyDescent="0.25">
      <c r="B49" t="s">
        <v>363</v>
      </c>
      <c r="C49">
        <v>718</v>
      </c>
      <c r="D49">
        <v>552</v>
      </c>
      <c r="E49">
        <v>572</v>
      </c>
    </row>
    <row r="50" spans="2:10" x14ac:dyDescent="0.25">
      <c r="B50" t="s">
        <v>364</v>
      </c>
      <c r="C50">
        <v>164</v>
      </c>
      <c r="D50">
        <v>0</v>
      </c>
      <c r="E50">
        <v>0</v>
      </c>
    </row>
    <row r="51" spans="2:10" x14ac:dyDescent="0.25">
      <c r="B51" t="s">
        <v>335</v>
      </c>
      <c r="C51">
        <v>5889</v>
      </c>
      <c r="D51">
        <v>4836</v>
      </c>
      <c r="E51">
        <v>5172</v>
      </c>
    </row>
    <row r="59" spans="2:10" x14ac:dyDescent="0.25">
      <c r="B59" s="1" t="s">
        <v>222</v>
      </c>
    </row>
    <row r="60" spans="2:10" x14ac:dyDescent="0.25">
      <c r="G60" t="s">
        <v>282</v>
      </c>
      <c r="H60" t="s">
        <v>298</v>
      </c>
    </row>
    <row r="61" spans="2:10" x14ac:dyDescent="0.25">
      <c r="B61" t="s">
        <v>282</v>
      </c>
      <c r="C61" t="s">
        <v>298</v>
      </c>
      <c r="G61" t="s">
        <v>282</v>
      </c>
      <c r="H61">
        <v>2017</v>
      </c>
      <c r="I61">
        <v>2016</v>
      </c>
      <c r="J61">
        <v>2015</v>
      </c>
    </row>
    <row r="62" spans="2:10" x14ac:dyDescent="0.25">
      <c r="B62" t="s">
        <v>295</v>
      </c>
      <c r="C62">
        <v>2017</v>
      </c>
      <c r="D62">
        <v>2016</v>
      </c>
      <c r="E62">
        <v>2015</v>
      </c>
      <c r="G62" t="s">
        <v>358</v>
      </c>
      <c r="H62">
        <v>8200</v>
      </c>
      <c r="I62">
        <v>7900</v>
      </c>
      <c r="J62">
        <v>8600</v>
      </c>
    </row>
    <row r="63" spans="2:10" x14ac:dyDescent="0.25">
      <c r="B63" t="s">
        <v>358</v>
      </c>
      <c r="C63">
        <v>2305</v>
      </c>
      <c r="D63">
        <v>2256</v>
      </c>
      <c r="E63">
        <v>2588</v>
      </c>
      <c r="G63" t="s">
        <v>365</v>
      </c>
      <c r="H63">
        <v>6400</v>
      </c>
      <c r="I63">
        <v>4400</v>
      </c>
      <c r="J63">
        <v>5200</v>
      </c>
    </row>
    <row r="64" spans="2:10" x14ac:dyDescent="0.25">
      <c r="B64" t="s">
        <v>365</v>
      </c>
      <c r="C64">
        <v>1399</v>
      </c>
      <c r="D64">
        <v>941</v>
      </c>
      <c r="E64">
        <v>1121</v>
      </c>
      <c r="G64" t="s">
        <v>367</v>
      </c>
      <c r="H64">
        <v>14600</v>
      </c>
      <c r="I64">
        <v>12300</v>
      </c>
      <c r="J64">
        <v>13800</v>
      </c>
    </row>
    <row r="65" spans="2:5" x14ac:dyDescent="0.25">
      <c r="B65" t="s">
        <v>366</v>
      </c>
      <c r="C65">
        <v>354</v>
      </c>
      <c r="D65">
        <v>320</v>
      </c>
      <c r="E65">
        <v>358</v>
      </c>
    </row>
    <row r="66" spans="2:5" x14ac:dyDescent="0.25">
      <c r="B66" t="s">
        <v>335</v>
      </c>
      <c r="C66">
        <v>4058</v>
      </c>
      <c r="D66">
        <v>3517</v>
      </c>
      <c r="E66">
        <v>4067</v>
      </c>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839C2-AD06-47F3-ABC8-DECF9422519F}">
  <sheetPr>
    <tabColor theme="8" tint="0.39997558519241921"/>
  </sheetPr>
  <dimension ref="B2:H22"/>
  <sheetViews>
    <sheetView workbookViewId="0"/>
  </sheetViews>
  <sheetFormatPr defaultRowHeight="15" x14ac:dyDescent="0.25"/>
  <cols>
    <col min="2" max="2" width="62.5703125" bestFit="1" customWidth="1"/>
    <col min="3" max="3" width="9.28515625" customWidth="1"/>
    <col min="8" max="8" width="9.42578125" customWidth="1"/>
  </cols>
  <sheetData>
    <row r="2" spans="2:8" x14ac:dyDescent="0.25">
      <c r="B2" s="99" t="s">
        <v>1141</v>
      </c>
      <c r="C2" s="6"/>
      <c r="D2" s="6"/>
      <c r="E2" s="4"/>
      <c r="F2" s="4"/>
      <c r="G2" s="4"/>
    </row>
    <row r="3" spans="2:8" x14ac:dyDescent="0.25">
      <c r="B3" s="154" t="s">
        <v>1140</v>
      </c>
      <c r="C3" s="276">
        <f>C4+'Balance Sheet (Y)'!C108</f>
        <v>-57.658747473993571</v>
      </c>
      <c r="D3" s="276">
        <f>D4+'Balance Sheet (Y)'!D108</f>
        <v>-77.071952628150029</v>
      </c>
      <c r="E3" s="276">
        <f>E4+'Balance Sheet (Y)'!E108</f>
        <v>522.73185494051722</v>
      </c>
      <c r="F3" s="276">
        <f>F4+'Balance Sheet (Y)'!F108</f>
        <v>-28.336873929718422</v>
      </c>
      <c r="G3" s="276">
        <f>G4+'Balance Sheet (Y)'!G108</f>
        <v>-607.2801900639497</v>
      </c>
    </row>
    <row r="4" spans="2:8" x14ac:dyDescent="0.25">
      <c r="B4" s="154" t="s">
        <v>1080</v>
      </c>
      <c r="C4" s="276">
        <v>-57.658747473993571</v>
      </c>
      <c r="D4" s="276">
        <v>-77.071952628150029</v>
      </c>
      <c r="E4" s="276">
        <v>522.73185494051722</v>
      </c>
      <c r="F4" s="276">
        <v>-28.336873929718422</v>
      </c>
      <c r="G4" s="276">
        <v>-607.2801900639497</v>
      </c>
    </row>
    <row r="5" spans="2:8" x14ac:dyDescent="0.25">
      <c r="B5" s="154" t="s">
        <v>1084</v>
      </c>
      <c r="C5" s="296">
        <f>SUM('Balance Sheet (Y)'!H56:K56)/SUM('Balance Sheet (Y)'!H56:K56,'Balance Sheet (Y)'!H95:K95)</f>
        <v>0.5126750437609402</v>
      </c>
      <c r="D5" s="276"/>
      <c r="E5" s="276"/>
      <c r="F5" s="276"/>
      <c r="G5" s="276"/>
    </row>
    <row r="6" spans="2:8" x14ac:dyDescent="0.25">
      <c r="B6" s="154" t="s">
        <v>1142</v>
      </c>
      <c r="C6" s="296">
        <f>C5</f>
        <v>0.5126750437609402</v>
      </c>
      <c r="D6" s="276"/>
      <c r="E6" s="276"/>
      <c r="F6" s="276"/>
      <c r="G6" s="276"/>
    </row>
    <row r="7" spans="2:8" x14ac:dyDescent="0.25">
      <c r="B7" s="160" t="s">
        <v>533</v>
      </c>
      <c r="C7" s="276">
        <f>$C$6*C4</f>
        <v>-29.560200884430653</v>
      </c>
      <c r="D7" s="276">
        <f>$C$6*D4</f>
        <v>-39.512866686377926</v>
      </c>
      <c r="E7" s="276">
        <f>$C$6*E4</f>
        <v>267.99157660686711</v>
      </c>
      <c r="F7" s="276">
        <f>$C$6*F4</f>
        <v>-14.527608081966637</v>
      </c>
      <c r="G7" s="276">
        <f>$C$6*G4</f>
        <v>-311.33739801618748</v>
      </c>
    </row>
    <row r="8" spans="2:8" x14ac:dyDescent="0.25">
      <c r="B8" s="160" t="s">
        <v>1082</v>
      </c>
      <c r="C8" s="276">
        <f>C4-C7</f>
        <v>-28.098546589562918</v>
      </c>
      <c r="D8" s="276">
        <f>D4-D7</f>
        <v>-37.559085941772103</v>
      </c>
      <c r="E8" s="276">
        <f>E4-E7</f>
        <v>254.74027833365011</v>
      </c>
      <c r="F8" s="276">
        <f>F4-F7</f>
        <v>-13.809265847751785</v>
      </c>
      <c r="G8" s="276">
        <f>G4-G7</f>
        <v>-295.94279204776223</v>
      </c>
    </row>
    <row r="9" spans="2:8" x14ac:dyDescent="0.25">
      <c r="B9" s="98"/>
      <c r="C9" s="6"/>
      <c r="D9" s="6"/>
      <c r="E9" s="4"/>
      <c r="F9" s="4"/>
      <c r="G9" s="4"/>
    </row>
    <row r="10" spans="2:8" x14ac:dyDescent="0.25">
      <c r="B10" s="98"/>
      <c r="C10" s="4">
        <v>2022</v>
      </c>
      <c r="D10" s="6">
        <v>2021</v>
      </c>
      <c r="E10" s="4">
        <v>2020</v>
      </c>
      <c r="F10" s="6">
        <v>2019</v>
      </c>
      <c r="G10" s="4">
        <v>2018</v>
      </c>
      <c r="H10" s="6">
        <v>2017</v>
      </c>
    </row>
    <row r="11" spans="2:8" x14ac:dyDescent="0.25">
      <c r="B11" s="98" t="s">
        <v>1261</v>
      </c>
      <c r="C11" s="327">
        <f>'Income Statement (Y)'!C20/('Balance Sheet (Y)'!C69+'Balance Sheet (Y)'!C59+'Balance Sheet (Y)'!C60)</f>
        <v>4.5523217474544381E-2</v>
      </c>
      <c r="D11" s="327">
        <f>'Income Statement (Y)'!D20/('Balance Sheet (Y)'!D69+'Balance Sheet (Y)'!D59+'Balance Sheet (Y)'!D60)</f>
        <v>4.4548171410629916E-2</v>
      </c>
      <c r="E11" s="327">
        <f>'Income Statement (Y)'!E20/('Balance Sheet (Y)'!E69+'Balance Sheet (Y)'!E59+'Balance Sheet (Y)'!E60)</f>
        <v>4.3259546856477003E-2</v>
      </c>
      <c r="F11" s="327">
        <f>'Income Statement (Y)'!F20/('Balance Sheet (Y)'!F69+'Balance Sheet (Y)'!F59+'Balance Sheet (Y)'!F60)</f>
        <v>4.8526404872725526E-2</v>
      </c>
      <c r="G11" s="327">
        <f>'Income Statement (Y)'!G20/('Balance Sheet (Y)'!G69+'Balance Sheet (Y)'!G59+'Balance Sheet (Y)'!G60)</f>
        <v>4.7637799131810876E-2</v>
      </c>
      <c r="H11" s="327">
        <f>'Income Statement (Y)'!H20/('Balance Sheet (Y)'!H69+'Balance Sheet (Y)'!H59+'Balance Sheet (Y)'!H60)</f>
        <v>4.0378863409770691E-2</v>
      </c>
    </row>
    <row r="12" spans="2:8" x14ac:dyDescent="0.25">
      <c r="B12" s="98" t="s">
        <v>1262</v>
      </c>
      <c r="C12" s="328"/>
      <c r="D12" s="328">
        <f>-'Cash Flow (Y)'!C65/Valuation!$C$51+$C$22</f>
        <v>0.16342989820081275</v>
      </c>
      <c r="E12" s="328">
        <f>-'Cash Flow (Y)'!D65/Valuation!$C$51+$C$22</f>
        <v>0.16398047284613718</v>
      </c>
      <c r="F12" s="328">
        <f>-'Cash Flow (Y)'!E65/Valuation!$C$51+$C$22</f>
        <v>0.16480119924437484</v>
      </c>
      <c r="G12" s="328">
        <f>-'Cash Flow (Y)'!F65/Valuation!$C$51+$C$22</f>
        <v>0.16577016422942459</v>
      </c>
      <c r="H12" s="328">
        <f>-'Cash Flow (Y)'!G65/Valuation!$C$51+$C$22</f>
        <v>0.18046427920696223</v>
      </c>
    </row>
    <row r="13" spans="2:8" x14ac:dyDescent="0.25">
      <c r="B13" s="98"/>
      <c r="D13" s="6"/>
      <c r="E13" s="4"/>
      <c r="F13" s="4"/>
      <c r="G13" s="4"/>
      <c r="H13" s="6"/>
    </row>
    <row r="14" spans="2:8" x14ac:dyDescent="0.25">
      <c r="B14" s="98" t="s">
        <v>1264</v>
      </c>
      <c r="D14" s="6"/>
      <c r="E14" s="4"/>
      <c r="F14" s="4"/>
      <c r="G14" s="4"/>
      <c r="H14" s="326">
        <f>C5</f>
        <v>0.5126750437609402</v>
      </c>
    </row>
    <row r="15" spans="2:8" x14ac:dyDescent="0.25">
      <c r="B15" s="98" t="s">
        <v>1263</v>
      </c>
      <c r="D15" s="6"/>
      <c r="E15" s="4"/>
      <c r="F15" s="4"/>
      <c r="G15" s="4"/>
      <c r="H15" s="326">
        <f>1-H14</f>
        <v>0.4873249562390598</v>
      </c>
    </row>
    <row r="16" spans="2:8" x14ac:dyDescent="0.25">
      <c r="B16" s="98"/>
      <c r="D16" s="6"/>
      <c r="E16" s="4"/>
      <c r="F16" s="4"/>
      <c r="G16" s="4"/>
      <c r="H16" s="115"/>
    </row>
    <row r="17" spans="2:8" x14ac:dyDescent="0.25">
      <c r="B17" s="98" t="s">
        <v>1265</v>
      </c>
      <c r="D17" s="6"/>
      <c r="E17" s="4"/>
      <c r="F17" s="4"/>
      <c r="G17" s="4"/>
      <c r="H17" s="326">
        <f>'N2 Income Tax'!L9</f>
        <v>0.29228363837027499</v>
      </c>
    </row>
    <row r="18" spans="2:8" x14ac:dyDescent="0.25">
      <c r="B18" s="98"/>
      <c r="D18" s="6"/>
      <c r="E18" s="4"/>
      <c r="F18" s="4"/>
      <c r="G18" s="4"/>
      <c r="H18" s="115"/>
    </row>
    <row r="19" spans="2:8" x14ac:dyDescent="0.25">
      <c r="B19" s="98" t="s">
        <v>1255</v>
      </c>
      <c r="D19" s="330">
        <f t="shared" ref="D19:G19" si="0">$H$15*D12+$H$14*D11*(1-$H$17)</f>
        <v>9.5806814942093713E-2</v>
      </c>
      <c r="E19" s="330">
        <f t="shared" si="0"/>
        <v>9.5607573971506418E-2</v>
      </c>
      <c r="F19" s="330">
        <f t="shared" si="0"/>
        <v>9.7918500709152728E-2</v>
      </c>
      <c r="G19" s="330">
        <f t="shared" si="0"/>
        <v>9.8068290025209795E-2</v>
      </c>
      <c r="H19" s="330">
        <f>$H$15*H12+$H$14*H11*(1-$H$17)</f>
        <v>0.10259535008298765</v>
      </c>
    </row>
    <row r="20" spans="2:8" x14ac:dyDescent="0.25">
      <c r="B20" s="329" t="s">
        <v>1267</v>
      </c>
    </row>
    <row r="22" spans="2:8" x14ac:dyDescent="0.25">
      <c r="B22" t="s">
        <v>1266</v>
      </c>
      <c r="C22" s="3">
        <f>('Cash Flow (Y)'!H65/'Cash Flow (Y)'!L65)^(1/4)-1</f>
        <v>0.13662494189045082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A48D1-69D9-4C99-8665-A01ED094FA5A}">
  <sheetPr codeName="Sheet3">
    <tabColor theme="8" tint="0.39997558519241921"/>
  </sheetPr>
  <dimension ref="B3:Z241"/>
  <sheetViews>
    <sheetView zoomScale="80" zoomScaleNormal="80" workbookViewId="0"/>
  </sheetViews>
  <sheetFormatPr defaultRowHeight="15" x14ac:dyDescent="0.25"/>
  <cols>
    <col min="4" max="4" width="41.28515625" bestFit="1" customWidth="1"/>
    <col min="5" max="5" width="13.5703125" bestFit="1" customWidth="1"/>
    <col min="6" max="6" width="11.5703125" customWidth="1"/>
    <col min="7" max="7" width="11.42578125" bestFit="1" customWidth="1"/>
    <col min="9" max="9" width="10.42578125" customWidth="1"/>
    <col min="10" max="10" width="11" customWidth="1"/>
    <col min="11" max="11" width="10.5703125" bestFit="1" customWidth="1"/>
    <col min="13" max="13" width="9.5703125" bestFit="1" customWidth="1"/>
  </cols>
  <sheetData>
    <row r="3" spans="4:7" x14ac:dyDescent="0.25">
      <c r="D3" t="s">
        <v>211</v>
      </c>
      <c r="E3">
        <v>2017</v>
      </c>
      <c r="F3">
        <v>2016</v>
      </c>
      <c r="G3">
        <v>2015</v>
      </c>
    </row>
    <row r="4" spans="4:7" x14ac:dyDescent="0.25">
      <c r="D4" t="s">
        <v>212</v>
      </c>
      <c r="E4" s="14">
        <v>0.34</v>
      </c>
      <c r="F4" s="14">
        <v>0.35</v>
      </c>
      <c r="G4" s="14">
        <v>0.36</v>
      </c>
    </row>
    <row r="5" spans="4:7" x14ac:dyDescent="0.25">
      <c r="D5" t="s">
        <v>213</v>
      </c>
      <c r="E5" s="14">
        <v>0.4</v>
      </c>
      <c r="F5" s="14">
        <v>0.35</v>
      </c>
      <c r="G5" s="14">
        <v>0.3</v>
      </c>
    </row>
    <row r="9" spans="4:7" x14ac:dyDescent="0.25">
      <c r="D9" t="s">
        <v>214</v>
      </c>
    </row>
    <row r="10" spans="4:7" x14ac:dyDescent="0.25">
      <c r="D10" t="s">
        <v>215</v>
      </c>
      <c r="E10" s="14">
        <v>0.27</v>
      </c>
      <c r="F10" s="14">
        <v>0.28000000000000003</v>
      </c>
      <c r="G10" s="14">
        <v>0.26</v>
      </c>
    </row>
    <row r="11" spans="4:7" x14ac:dyDescent="0.25">
      <c r="D11" t="s">
        <v>217</v>
      </c>
      <c r="E11" s="14">
        <v>0.16</v>
      </c>
      <c r="F11" s="14">
        <v>0.2</v>
      </c>
      <c r="G11" s="14">
        <v>0.2</v>
      </c>
    </row>
    <row r="14" spans="4:7" x14ac:dyDescent="0.25">
      <c r="D14" t="s">
        <v>220</v>
      </c>
    </row>
    <row r="15" spans="4:7" x14ac:dyDescent="0.25">
      <c r="D15" t="s">
        <v>221</v>
      </c>
      <c r="E15" s="14">
        <v>0.23</v>
      </c>
      <c r="F15" s="14">
        <v>0.21</v>
      </c>
      <c r="G15" s="14">
        <v>0.21</v>
      </c>
    </row>
    <row r="16" spans="4:7" x14ac:dyDescent="0.25">
      <c r="D16" t="s">
        <v>216</v>
      </c>
      <c r="E16" s="14">
        <v>0.32</v>
      </c>
      <c r="F16" s="14">
        <v>0.32</v>
      </c>
      <c r="G16" s="14">
        <v>0.34</v>
      </c>
    </row>
    <row r="19" spans="4:7" x14ac:dyDescent="0.25">
      <c r="D19" t="s">
        <v>222</v>
      </c>
    </row>
    <row r="20" spans="4:7" x14ac:dyDescent="0.25">
      <c r="D20" t="s">
        <v>221</v>
      </c>
      <c r="E20" s="14">
        <v>0.16</v>
      </c>
      <c r="F20" s="14">
        <v>0.16</v>
      </c>
      <c r="G20" s="14">
        <v>0.17</v>
      </c>
    </row>
    <row r="21" spans="4:7" x14ac:dyDescent="0.25">
      <c r="D21" t="s">
        <v>223</v>
      </c>
      <c r="E21" s="14">
        <v>0.12</v>
      </c>
      <c r="F21" s="14">
        <v>0.13</v>
      </c>
      <c r="G21" s="14">
        <v>0.16</v>
      </c>
    </row>
    <row r="39" spans="5:7" x14ac:dyDescent="0.25">
      <c r="E39" s="14"/>
      <c r="F39" s="14"/>
      <c r="G39" s="14"/>
    </row>
    <row r="43" spans="5:7" x14ac:dyDescent="0.25">
      <c r="E43" s="14"/>
      <c r="F43" s="14"/>
      <c r="G43" s="14"/>
    </row>
    <row r="61" spans="4:19" x14ac:dyDescent="0.25">
      <c r="D61" t="s">
        <v>241</v>
      </c>
      <c r="K61" s="281" t="s">
        <v>1117</v>
      </c>
      <c r="L61" s="281" t="s">
        <v>780</v>
      </c>
      <c r="M61" s="281" t="s">
        <v>15</v>
      </c>
      <c r="S61" s="74">
        <v>58600</v>
      </c>
    </row>
    <row r="62" spans="4:19" x14ac:dyDescent="0.25">
      <c r="D62" s="8" t="s">
        <v>219</v>
      </c>
      <c r="E62" t="s">
        <v>242</v>
      </c>
      <c r="F62" t="s">
        <v>243</v>
      </c>
      <c r="G62" t="s">
        <v>1119</v>
      </c>
      <c r="H62" t="s">
        <v>1118</v>
      </c>
      <c r="J62" t="s">
        <v>1126</v>
      </c>
      <c r="K62" s="281">
        <f>COUNTA(E63:E91)</f>
        <v>18</v>
      </c>
      <c r="L62" s="281">
        <f>SUM(H63:H88)</f>
        <v>23.800000000000004</v>
      </c>
      <c r="M62" s="281">
        <f>SUM(K62:L62)</f>
        <v>41.800000000000004</v>
      </c>
      <c r="O62" t="s">
        <v>780</v>
      </c>
    </row>
    <row r="63" spans="4:19" x14ac:dyDescent="0.25">
      <c r="D63" t="s">
        <v>225</v>
      </c>
      <c r="E63" t="s">
        <v>244</v>
      </c>
      <c r="F63" t="s">
        <v>253</v>
      </c>
      <c r="G63">
        <v>1</v>
      </c>
      <c r="H63">
        <v>0.9</v>
      </c>
      <c r="O63">
        <f>SUM(H63:H88)</f>
        <v>23.800000000000004</v>
      </c>
      <c r="R63" t="s">
        <v>1120</v>
      </c>
      <c r="S63" s="11">
        <v>53272.732545454543</v>
      </c>
    </row>
    <row r="64" spans="4:19" x14ac:dyDescent="0.25">
      <c r="E64" t="s">
        <v>245</v>
      </c>
      <c r="F64" t="s">
        <v>235</v>
      </c>
      <c r="G64">
        <v>1</v>
      </c>
      <c r="H64">
        <v>0.75</v>
      </c>
      <c r="J64" t="s">
        <v>1124</v>
      </c>
      <c r="K64" s="11">
        <f>S61/COUNTA(E63:F91)</f>
        <v>1362.7906976744187</v>
      </c>
      <c r="R64" t="s">
        <v>1121</v>
      </c>
      <c r="S64" s="11">
        <f>0.1*S63</f>
        <v>5327.2732545454546</v>
      </c>
    </row>
    <row r="65" spans="4:19" x14ac:dyDescent="0.25">
      <c r="E65" t="s">
        <v>246</v>
      </c>
      <c r="F65" t="s">
        <v>254</v>
      </c>
      <c r="G65">
        <v>1</v>
      </c>
      <c r="H65">
        <v>1.4</v>
      </c>
      <c r="R65" t="s">
        <v>1122</v>
      </c>
      <c r="S65">
        <f>SUM(S63:S64)</f>
        <v>58600.005799999999</v>
      </c>
    </row>
    <row r="66" spans="4:19" x14ac:dyDescent="0.25">
      <c r="D66" t="s">
        <v>218</v>
      </c>
      <c r="E66" t="s">
        <v>244</v>
      </c>
      <c r="F66" t="s">
        <v>255</v>
      </c>
      <c r="G66">
        <v>1</v>
      </c>
      <c r="H66">
        <v>1.1000000000000001</v>
      </c>
    </row>
    <row r="67" spans="4:19" x14ac:dyDescent="0.25">
      <c r="E67" t="s">
        <v>247</v>
      </c>
      <c r="F67" t="s">
        <v>253</v>
      </c>
      <c r="G67">
        <v>1</v>
      </c>
      <c r="H67">
        <v>0.9</v>
      </c>
      <c r="J67" t="s">
        <v>1125</v>
      </c>
      <c r="K67" s="2">
        <f>$K$64*K62*$R$69/1000/1000</f>
        <v>1422.753488372093</v>
      </c>
      <c r="L67" s="2">
        <f>$K$64*L62*$R$69/1000/1000</f>
        <v>1881.196279069768</v>
      </c>
      <c r="M67" s="67">
        <f>SUM(K67:L67)</f>
        <v>3303.9497674418608</v>
      </c>
      <c r="S67" s="301"/>
    </row>
    <row r="68" spans="4:19" x14ac:dyDescent="0.25">
      <c r="E68" t="s">
        <v>248</v>
      </c>
      <c r="F68" t="s">
        <v>256</v>
      </c>
      <c r="G68">
        <v>4</v>
      </c>
      <c r="H68">
        <v>0.75</v>
      </c>
      <c r="J68" t="s">
        <v>1127</v>
      </c>
      <c r="K68">
        <v>3.5</v>
      </c>
      <c r="R68" t="s">
        <v>1123</v>
      </c>
    </row>
    <row r="69" spans="4:19" x14ac:dyDescent="0.25">
      <c r="E69" t="s">
        <v>249</v>
      </c>
      <c r="F69" t="s">
        <v>257</v>
      </c>
      <c r="G69">
        <v>1</v>
      </c>
      <c r="H69">
        <v>1.2</v>
      </c>
      <c r="J69" t="s">
        <v>15</v>
      </c>
      <c r="K69" s="2">
        <f>K68*M67</f>
        <v>11563.824186046513</v>
      </c>
      <c r="R69" s="2">
        <v>58000</v>
      </c>
    </row>
    <row r="70" spans="4:19" x14ac:dyDescent="0.25">
      <c r="F70" t="s">
        <v>258</v>
      </c>
      <c r="G70">
        <v>1</v>
      </c>
      <c r="H70">
        <v>1.2</v>
      </c>
    </row>
    <row r="71" spans="4:19" x14ac:dyDescent="0.25">
      <c r="F71" t="s">
        <v>235</v>
      </c>
      <c r="G71">
        <v>5</v>
      </c>
      <c r="H71">
        <v>0.75</v>
      </c>
      <c r="J71" t="s">
        <v>1128</v>
      </c>
      <c r="K71">
        <f>'Income Statement (Y)'!H3</f>
        <v>15338</v>
      </c>
    </row>
    <row r="72" spans="4:19" x14ac:dyDescent="0.25">
      <c r="F72" t="s">
        <v>260</v>
      </c>
      <c r="G72">
        <v>2</v>
      </c>
      <c r="H72">
        <v>0.75</v>
      </c>
      <c r="J72" t="s">
        <v>1129</v>
      </c>
      <c r="K72">
        <f>'Balance Sheet (Y)'!H56-'Balance Sheet (Y)'!I56</f>
        <v>2074</v>
      </c>
    </row>
    <row r="73" spans="4:19" x14ac:dyDescent="0.25">
      <c r="F73" t="s">
        <v>275</v>
      </c>
      <c r="G73">
        <v>1</v>
      </c>
      <c r="H73">
        <v>1</v>
      </c>
      <c r="J73" t="s">
        <v>1130</v>
      </c>
      <c r="K73">
        <f>SUM('Balance Sheet (Y)'!H61,'Balance Sheet (Y)'!H81,'Balance Sheet (Y)'!H82)-SUM('Balance Sheet (Y)'!I61,'Balance Sheet (Y)'!I81,'Balance Sheet (Y)'!I82)</f>
        <v>363</v>
      </c>
    </row>
    <row r="74" spans="4:19" x14ac:dyDescent="0.25">
      <c r="F74" t="s">
        <v>259</v>
      </c>
      <c r="G74">
        <v>1</v>
      </c>
      <c r="H74">
        <v>1.2</v>
      </c>
    </row>
    <row r="75" spans="4:19" x14ac:dyDescent="0.25">
      <c r="F75" t="s">
        <v>254</v>
      </c>
      <c r="G75">
        <v>2</v>
      </c>
      <c r="H75">
        <f>VLOOKUP(F75, $F$63:$H74, 3,0)</f>
        <v>1.4</v>
      </c>
      <c r="J75" t="s">
        <v>1131</v>
      </c>
      <c r="K75" s="2">
        <f>K71-K72+K73-K69</f>
        <v>2063.1758139534868</v>
      </c>
    </row>
    <row r="76" spans="4:19" x14ac:dyDescent="0.25">
      <c r="D76" t="s">
        <v>250</v>
      </c>
      <c r="E76" t="s">
        <v>244</v>
      </c>
      <c r="F76" t="s">
        <v>253</v>
      </c>
      <c r="G76">
        <v>1</v>
      </c>
      <c r="H76">
        <f>VLOOKUP(F76, $F$63:$H75, 3,0)</f>
        <v>0.9</v>
      </c>
    </row>
    <row r="77" spans="4:19" x14ac:dyDescent="0.25">
      <c r="E77" t="s">
        <v>251</v>
      </c>
      <c r="F77" t="s">
        <v>256</v>
      </c>
      <c r="G77">
        <v>2</v>
      </c>
      <c r="H77">
        <f>VLOOKUP(F77, $F$63:$H76, 3,0)</f>
        <v>0.75</v>
      </c>
      <c r="J77" t="s">
        <v>1132</v>
      </c>
      <c r="K77" s="3">
        <f>K69/K71</f>
        <v>0.7539329890498444</v>
      </c>
    </row>
    <row r="78" spans="4:19" x14ac:dyDescent="0.25">
      <c r="E78" t="s">
        <v>252</v>
      </c>
      <c r="F78" t="s">
        <v>235</v>
      </c>
      <c r="G78">
        <v>4</v>
      </c>
      <c r="H78">
        <f t="shared" ref="H78:H81" si="0">VLOOKUP(F78, $F$63:$H$75, 3,0)</f>
        <v>0.75</v>
      </c>
    </row>
    <row r="79" spans="4:19" x14ac:dyDescent="0.25">
      <c r="F79" t="s">
        <v>260</v>
      </c>
      <c r="G79">
        <v>1</v>
      </c>
      <c r="H79">
        <f t="shared" si="0"/>
        <v>0.75</v>
      </c>
    </row>
    <row r="80" spans="4:19" x14ac:dyDescent="0.25">
      <c r="F80" t="s">
        <v>261</v>
      </c>
      <c r="G80">
        <v>1</v>
      </c>
      <c r="H80">
        <v>0.5</v>
      </c>
    </row>
    <row r="81" spans="4:18" x14ac:dyDescent="0.25">
      <c r="F81" t="s">
        <v>254</v>
      </c>
      <c r="G81">
        <v>4</v>
      </c>
      <c r="H81">
        <f t="shared" si="0"/>
        <v>1.4</v>
      </c>
    </row>
    <row r="82" spans="4:18" x14ac:dyDescent="0.25">
      <c r="F82" t="s">
        <v>262</v>
      </c>
      <c r="G82">
        <v>1</v>
      </c>
      <c r="H82">
        <v>0.75</v>
      </c>
    </row>
    <row r="83" spans="4:18" x14ac:dyDescent="0.25">
      <c r="P83" t="s">
        <v>1117</v>
      </c>
      <c r="Q83" t="s">
        <v>780</v>
      </c>
    </row>
    <row r="84" spans="4:18" x14ac:dyDescent="0.25">
      <c r="D84" t="s">
        <v>263</v>
      </c>
      <c r="E84" t="s">
        <v>264</v>
      </c>
      <c r="F84" t="s">
        <v>272</v>
      </c>
      <c r="G84">
        <v>1</v>
      </c>
      <c r="H84">
        <v>1</v>
      </c>
      <c r="N84" t="s">
        <v>263</v>
      </c>
      <c r="P84">
        <f>COUNTA(E84:E91)</f>
        <v>8</v>
      </c>
      <c r="Q84">
        <f>SUM(H84:H88)</f>
        <v>4.7</v>
      </c>
      <c r="R84">
        <f>SUM(P84:Q84)</f>
        <v>12.7</v>
      </c>
    </row>
    <row r="85" spans="4:18" x14ac:dyDescent="0.25">
      <c r="E85" t="s">
        <v>265</v>
      </c>
      <c r="F85" t="s">
        <v>256</v>
      </c>
      <c r="G85">
        <v>1</v>
      </c>
      <c r="H85">
        <f t="shared" ref="H85:H88" si="1">VLOOKUP(F85, $F$63:$H$75, 3,0)</f>
        <v>0.75</v>
      </c>
    </row>
    <row r="86" spans="4:18" x14ac:dyDescent="0.25">
      <c r="E86" t="s">
        <v>266</v>
      </c>
      <c r="F86" t="s">
        <v>273</v>
      </c>
      <c r="G86">
        <v>1</v>
      </c>
      <c r="H86">
        <v>0.85</v>
      </c>
      <c r="P86">
        <f>P84/R84</f>
        <v>0.62992125984251968</v>
      </c>
      <c r="Q86">
        <f>Q84/R84</f>
        <v>0.37007874015748032</v>
      </c>
    </row>
    <row r="87" spans="4:18" x14ac:dyDescent="0.25">
      <c r="E87" t="s">
        <v>267</v>
      </c>
      <c r="F87" t="s">
        <v>274</v>
      </c>
      <c r="G87">
        <v>1</v>
      </c>
      <c r="H87">
        <v>1.1000000000000001</v>
      </c>
    </row>
    <row r="88" spans="4:18" x14ac:dyDescent="0.25">
      <c r="E88" t="s">
        <v>268</v>
      </c>
      <c r="F88" t="s">
        <v>275</v>
      </c>
      <c r="G88">
        <v>1</v>
      </c>
      <c r="H88">
        <f t="shared" si="1"/>
        <v>1</v>
      </c>
    </row>
    <row r="89" spans="4:18" x14ac:dyDescent="0.25">
      <c r="E89" t="s">
        <v>269</v>
      </c>
    </row>
    <row r="90" spans="4:18" x14ac:dyDescent="0.25">
      <c r="E90" t="s">
        <v>270</v>
      </c>
    </row>
    <row r="91" spans="4:18" x14ac:dyDescent="0.25">
      <c r="E91" t="s">
        <v>271</v>
      </c>
    </row>
    <row r="93" spans="4:18" x14ac:dyDescent="0.25">
      <c r="D93" t="s">
        <v>276</v>
      </c>
      <c r="E93" t="s">
        <v>244</v>
      </c>
      <c r="F93" t="s">
        <v>279</v>
      </c>
    </row>
    <row r="94" spans="4:18" x14ac:dyDescent="0.25">
      <c r="E94" t="s">
        <v>277</v>
      </c>
      <c r="F94" t="s">
        <v>253</v>
      </c>
    </row>
    <row r="95" spans="4:18" x14ac:dyDescent="0.25">
      <c r="E95" t="s">
        <v>248</v>
      </c>
      <c r="F95" t="s">
        <v>256</v>
      </c>
    </row>
    <row r="96" spans="4:18" x14ac:dyDescent="0.25">
      <c r="E96" t="s">
        <v>278</v>
      </c>
      <c r="F96" t="s">
        <v>235</v>
      </c>
    </row>
    <row r="97" spans="2:26" x14ac:dyDescent="0.25">
      <c r="F97" t="s">
        <v>256</v>
      </c>
    </row>
    <row r="98" spans="2:26" x14ac:dyDescent="0.25">
      <c r="F98" t="s">
        <v>256</v>
      </c>
    </row>
    <row r="99" spans="2:26" x14ac:dyDescent="0.25">
      <c r="F99" t="s">
        <v>260</v>
      </c>
    </row>
    <row r="100" spans="2:26" x14ac:dyDescent="0.25">
      <c r="F100" t="s">
        <v>273</v>
      </c>
    </row>
    <row r="101" spans="2:26" x14ac:dyDescent="0.25">
      <c r="F101" t="s">
        <v>274</v>
      </c>
    </row>
    <row r="102" spans="2:26" x14ac:dyDescent="0.25">
      <c r="F102" t="s">
        <v>275</v>
      </c>
    </row>
    <row r="103" spans="2:26" x14ac:dyDescent="0.25">
      <c r="F103" t="s">
        <v>254</v>
      </c>
      <c r="L103" s="417" t="s">
        <v>1329</v>
      </c>
    </row>
    <row r="104" spans="2:26" x14ac:dyDescent="0.25">
      <c r="F104" t="s">
        <v>280</v>
      </c>
      <c r="L104" t="s">
        <v>1328</v>
      </c>
    </row>
    <row r="105" spans="2:26" x14ac:dyDescent="0.25">
      <c r="L105" s="15">
        <v>2.07E-2</v>
      </c>
      <c r="M105" s="15">
        <v>2.0400000000000001E-2</v>
      </c>
      <c r="N105" s="15">
        <v>2.1299999999999999E-2</v>
      </c>
      <c r="O105" s="15">
        <v>2.4400000000000002E-2</v>
      </c>
      <c r="P105" s="15">
        <v>2.5399999999999999E-2</v>
      </c>
    </row>
    <row r="106" spans="2:26" x14ac:dyDescent="0.25">
      <c r="F106" s="67"/>
      <c r="G106" s="2"/>
    </row>
    <row r="107" spans="2:26" x14ac:dyDescent="0.25">
      <c r="L107" t="s">
        <v>1327</v>
      </c>
      <c r="M107" t="s">
        <v>1330</v>
      </c>
      <c r="U107" t="s">
        <v>1010</v>
      </c>
    </row>
    <row r="108" spans="2:26" ht="30" x14ac:dyDescent="0.25">
      <c r="D108" t="s">
        <v>1322</v>
      </c>
      <c r="E108" t="s">
        <v>1119</v>
      </c>
      <c r="F108" s="8" t="s">
        <v>1323</v>
      </c>
      <c r="G108" t="s">
        <v>1118</v>
      </c>
      <c r="H108" t="s">
        <v>1325</v>
      </c>
      <c r="I108" t="s">
        <v>1324</v>
      </c>
      <c r="J108" t="s">
        <v>1326</v>
      </c>
      <c r="L108" s="398">
        <v>2022</v>
      </c>
      <c r="M108" s="398">
        <v>2021</v>
      </c>
      <c r="N108" s="398">
        <v>2020</v>
      </c>
      <c r="O108" s="398">
        <v>2019</v>
      </c>
      <c r="P108" s="398">
        <v>2018</v>
      </c>
      <c r="Q108" s="398">
        <v>2017</v>
      </c>
      <c r="R108" s="398"/>
      <c r="U108" s="398">
        <v>2022</v>
      </c>
      <c r="V108" s="398">
        <v>2021</v>
      </c>
      <c r="W108" s="398">
        <v>2020</v>
      </c>
      <c r="X108" s="398">
        <v>2019</v>
      </c>
      <c r="Y108" s="398">
        <v>2018</v>
      </c>
      <c r="Z108" s="398">
        <v>2017</v>
      </c>
    </row>
    <row r="109" spans="2:26" x14ac:dyDescent="0.25">
      <c r="D109" t="s">
        <v>15</v>
      </c>
      <c r="E109">
        <f>SUBTOTAL(9,E110:E133)</f>
        <v>59</v>
      </c>
      <c r="H109" s="14">
        <f>SUBTOTAL(9,H110:H133)</f>
        <v>1.0042372881355932</v>
      </c>
      <c r="I109" s="14">
        <f>SUBTOTAL(9,I110:I133)</f>
        <v>1.0000000000000002</v>
      </c>
      <c r="J109" s="398">
        <f>SUBTOTAL(9,J110:J133)</f>
        <v>15338.000000000002</v>
      </c>
      <c r="U109" s="216">
        <f t="shared" ref="U109:Z109" si="2">SUBTOTAL(9,U110:U133)</f>
        <v>14776.704237681313</v>
      </c>
      <c r="V109" s="216">
        <f t="shared" si="2"/>
        <v>15339.168090393716</v>
      </c>
      <c r="W109" s="216">
        <f t="shared" si="2"/>
        <v>15733.461871059828</v>
      </c>
      <c r="X109" s="216">
        <f t="shared" si="2"/>
        <v>15712.950918696506</v>
      </c>
      <c r="Y109" s="216">
        <f t="shared" si="2"/>
        <v>15333.062878284672</v>
      </c>
      <c r="Z109" s="216">
        <f t="shared" si="2"/>
        <v>15338.000000000002</v>
      </c>
    </row>
    <row r="110" spans="2:26" x14ac:dyDescent="0.25">
      <c r="D110" s="1" t="s">
        <v>1117</v>
      </c>
      <c r="E110" s="1">
        <f>COUNTA(E63:E96)</f>
        <v>22</v>
      </c>
      <c r="F110" s="3">
        <f>E110/$E$109</f>
        <v>0.3728813559322034</v>
      </c>
      <c r="G110">
        <v>1</v>
      </c>
      <c r="H110" s="3">
        <f>G110*F110</f>
        <v>0.3728813559322034</v>
      </c>
      <c r="I110" s="414">
        <f>H110/$H$109</f>
        <v>0.37130801687763715</v>
      </c>
      <c r="J110" s="243">
        <f>I110*'Income Statement (Y)'!$H$3</f>
        <v>5695.1223628691987</v>
      </c>
      <c r="L110" s="398">
        <v>1</v>
      </c>
      <c r="M110" s="398">
        <v>1</v>
      </c>
      <c r="N110" s="398">
        <v>1</v>
      </c>
      <c r="O110" s="398">
        <v>1</v>
      </c>
      <c r="P110" s="398">
        <v>1</v>
      </c>
      <c r="Q110" s="398">
        <v>1</v>
      </c>
      <c r="R110" s="398"/>
      <c r="U110" s="216">
        <f>V110*(1+L105)</f>
        <v>6363.3797135586856</v>
      </c>
      <c r="V110" s="216">
        <f>W110*(1+M105)</f>
        <v>6234.3291011645788</v>
      </c>
      <c r="W110" s="216">
        <f>X110*(1+N105)</f>
        <v>6109.6913966724605</v>
      </c>
      <c r="X110" s="216">
        <f>Y110*(1+O105)</f>
        <v>5982.2690655756978</v>
      </c>
      <c r="Y110" s="216">
        <f>Z110*(1+P105)</f>
        <v>5839.7784708860772</v>
      </c>
      <c r="Z110" s="216">
        <f>J110</f>
        <v>5695.1223628691987</v>
      </c>
    </row>
    <row r="111" spans="2:26" x14ac:dyDescent="0.25">
      <c r="B111">
        <f>E111/E109</f>
        <v>0.6271186440677966</v>
      </c>
      <c r="D111" s="1" t="s">
        <v>780</v>
      </c>
      <c r="E111" s="1">
        <f>SUBTOTAL(9,E112:E133)</f>
        <v>37</v>
      </c>
      <c r="F111" s="3"/>
      <c r="H111" s="3"/>
      <c r="I111" s="414"/>
      <c r="J111" s="243"/>
      <c r="L111" s="398"/>
      <c r="M111" s="398"/>
      <c r="N111" s="398"/>
      <c r="O111" s="398"/>
      <c r="P111" s="398"/>
      <c r="Q111" s="398"/>
      <c r="R111" s="398"/>
      <c r="U111" s="216">
        <f t="shared" ref="U111:Z111" si="3">SUBTOTAL(9,U112:U133)</f>
        <v>8413.324524122625</v>
      </c>
      <c r="V111" s="216">
        <f t="shared" si="3"/>
        <v>9104.8389892291434</v>
      </c>
      <c r="W111" s="216">
        <f t="shared" si="3"/>
        <v>9623.7704743873674</v>
      </c>
      <c r="X111" s="216">
        <f t="shared" si="3"/>
        <v>9730.6818531208119</v>
      </c>
      <c r="Y111" s="216">
        <f t="shared" si="3"/>
        <v>9493.2844073985962</v>
      </c>
      <c r="Z111" s="216">
        <f t="shared" si="3"/>
        <v>9642.8776371308013</v>
      </c>
    </row>
    <row r="112" spans="2:26" x14ac:dyDescent="0.25">
      <c r="D112" s="418" t="s">
        <v>1306</v>
      </c>
      <c r="E112" s="1">
        <f>SUBTOTAL(9,E113:E114)</f>
        <v>4</v>
      </c>
      <c r="F112" s="415">
        <f t="shared" ref="F112:F133" si="4">E112/$E$109</f>
        <v>6.7796610169491525E-2</v>
      </c>
      <c r="G112" s="1"/>
      <c r="H112" s="415"/>
      <c r="I112" s="416">
        <f>SUBTOTAL(9,I113:I114)</f>
        <v>6.1603375527426167E-2</v>
      </c>
      <c r="L112" s="398"/>
      <c r="M112" s="398"/>
      <c r="N112" s="398"/>
      <c r="O112" s="398"/>
      <c r="P112" s="398"/>
      <c r="Q112" s="398"/>
      <c r="R112" s="446" t="s">
        <v>296</v>
      </c>
      <c r="S112" s="446" t="s">
        <v>1372</v>
      </c>
      <c r="T112" s="446"/>
    </row>
    <row r="113" spans="4:26" x14ac:dyDescent="0.25">
      <c r="D113" s="179" t="s">
        <v>272</v>
      </c>
      <c r="E113">
        <f>COUNTIFS($F$63:$F$104, D113)</f>
        <v>1</v>
      </c>
      <c r="F113" s="3">
        <f t="shared" si="4"/>
        <v>1.6949152542372881E-2</v>
      </c>
      <c r="G113">
        <v>0.95</v>
      </c>
      <c r="H113" s="3">
        <f t="shared" ref="H113:H133" si="5">G113*F113</f>
        <v>1.6101694915254237E-2</v>
      </c>
      <c r="I113" s="414">
        <f t="shared" ref="I113:I114" si="6">H113/$H$109</f>
        <v>1.6033755274261603E-2</v>
      </c>
      <c r="J113" s="243">
        <f>I113*'Income Statement (Y)'!$H$3</f>
        <v>245.92573839662447</v>
      </c>
      <c r="L113" s="398">
        <f t="shared" ref="L113:Q114" si="7">IF(Scen_ExRates=1,E144,IF(Scen_ExRates=2,E173,E201))</f>
        <v>1.41</v>
      </c>
      <c r="M113" s="441">
        <f t="shared" si="7"/>
        <v>1.335</v>
      </c>
      <c r="N113" s="441">
        <f t="shared" si="7"/>
        <v>1.292</v>
      </c>
      <c r="O113" s="441">
        <f t="shared" si="7"/>
        <v>1.2030000000000001</v>
      </c>
      <c r="P113" s="441">
        <f t="shared" si="7"/>
        <v>1.28</v>
      </c>
      <c r="Q113" s="441">
        <f t="shared" si="7"/>
        <v>1.34</v>
      </c>
      <c r="R113" s="446" t="str">
        <f t="shared" ref="R113:R114" si="8">IF(N113&lt;Q113, "good", "bad")</f>
        <v>good</v>
      </c>
      <c r="S113" s="446" t="str">
        <f>IF(N113&lt;Q113, "bad", "good")</f>
        <v>bad</v>
      </c>
      <c r="T113" s="446"/>
      <c r="U113" s="216">
        <f t="shared" ref="U113:Y114" si="9">M113/L113*V113</f>
        <v>233.71665918544451</v>
      </c>
      <c r="V113" s="216">
        <f t="shared" si="9"/>
        <v>246.84680857788521</v>
      </c>
      <c r="W113" s="216">
        <f t="shared" si="9"/>
        <v>255.06229833705629</v>
      </c>
      <c r="X113" s="216">
        <f t="shared" si="9"/>
        <v>273.93224393306463</v>
      </c>
      <c r="Y113" s="216">
        <f t="shared" si="9"/>
        <v>257.45350738396621</v>
      </c>
      <c r="Z113" s="216">
        <f>J113</f>
        <v>245.92573839662447</v>
      </c>
    </row>
    <row r="114" spans="4:26" x14ac:dyDescent="0.25">
      <c r="D114" s="179" t="s">
        <v>260</v>
      </c>
      <c r="E114">
        <f>COUNTIFS($F$63:$F$104, D114)</f>
        <v>3</v>
      </c>
      <c r="F114" s="3">
        <f t="shared" si="4"/>
        <v>5.0847457627118647E-2</v>
      </c>
      <c r="G114">
        <v>0.9</v>
      </c>
      <c r="H114" s="3">
        <f t="shared" si="5"/>
        <v>4.5762711864406787E-2</v>
      </c>
      <c r="I114" s="414">
        <f t="shared" si="6"/>
        <v>4.5569620253164564E-2</v>
      </c>
      <c r="J114" s="243">
        <f>I114*'Income Statement (Y)'!$H$3</f>
        <v>698.94683544303803</v>
      </c>
      <c r="L114" s="441">
        <f t="shared" si="7"/>
        <v>26.64</v>
      </c>
      <c r="M114" s="441">
        <f t="shared" si="7"/>
        <v>23.42</v>
      </c>
      <c r="N114" s="441">
        <f t="shared" si="7"/>
        <v>21.37</v>
      </c>
      <c r="O114" s="441">
        <f t="shared" si="7"/>
        <v>20.68</v>
      </c>
      <c r="P114" s="441">
        <f t="shared" si="7"/>
        <v>21.05</v>
      </c>
      <c r="Q114" s="441">
        <f t="shared" si="7"/>
        <v>18.683</v>
      </c>
      <c r="R114" s="446" t="str">
        <f t="shared" si="8"/>
        <v>bad</v>
      </c>
      <c r="S114" s="446" t="str">
        <f>IF(N114&lt;Q114, "bad", "good")</f>
        <v>good</v>
      </c>
      <c r="T114" s="446"/>
      <c r="U114" s="216">
        <f t="shared" si="9"/>
        <v>490.18107081765322</v>
      </c>
      <c r="V114" s="216">
        <f t="shared" si="9"/>
        <v>557.57573555005467</v>
      </c>
      <c r="W114" s="216">
        <f t="shared" si="9"/>
        <v>611.06334705579229</v>
      </c>
      <c r="X114" s="216">
        <f t="shared" si="9"/>
        <v>631.4518243028183</v>
      </c>
      <c r="Y114" s="216">
        <f t="shared" si="9"/>
        <v>620.35267109654535</v>
      </c>
      <c r="Z114" s="216">
        <f>J114</f>
        <v>698.94683544303803</v>
      </c>
    </row>
    <row r="115" spans="4:26" x14ac:dyDescent="0.25">
      <c r="D115" s="418" t="s">
        <v>353</v>
      </c>
      <c r="E115" s="1">
        <f>SUBTOTAL(9,E116:E118)</f>
        <v>4</v>
      </c>
      <c r="F115" s="415">
        <f t="shared" si="4"/>
        <v>6.7796610169491525E-2</v>
      </c>
      <c r="G115" s="1"/>
      <c r="H115" s="415"/>
      <c r="I115" s="416">
        <f>SUBTOTAL(9,I116:I118)</f>
        <v>8.2700421940928276E-2</v>
      </c>
      <c r="L115" s="398"/>
      <c r="M115" s="398"/>
      <c r="N115" s="398"/>
      <c r="O115" s="398"/>
      <c r="P115" s="398"/>
      <c r="Q115" s="398"/>
      <c r="R115" s="446"/>
      <c r="S115" s="446"/>
      <c r="T115" s="446"/>
    </row>
    <row r="116" spans="4:26" x14ac:dyDescent="0.25">
      <c r="D116" s="179" t="s">
        <v>255</v>
      </c>
      <c r="E116">
        <f>COUNTIFS($F$63:$F$104, D116)</f>
        <v>1</v>
      </c>
      <c r="F116" s="3">
        <f t="shared" si="4"/>
        <v>1.6949152542372881E-2</v>
      </c>
      <c r="G116">
        <v>1.3</v>
      </c>
      <c r="H116" s="3">
        <f t="shared" si="5"/>
        <v>2.2033898305084745E-2</v>
      </c>
      <c r="I116" s="414">
        <f t="shared" ref="I116:I118" si="10">H116/$H$109</f>
        <v>2.1940928270042195E-2</v>
      </c>
      <c r="J116" s="243">
        <f>I116*'Income Statement (Y)'!$H$3</f>
        <v>336.5299578059072</v>
      </c>
      <c r="L116" s="441">
        <f t="shared" ref="L116:Q118" si="11">IF(Scen_ExRates=1,E147,IF(Scen_ExRates=2,E176,E204))</f>
        <v>1.5529999999999999</v>
      </c>
      <c r="M116" s="441">
        <f t="shared" si="11"/>
        <v>1.403</v>
      </c>
      <c r="N116" s="441">
        <f t="shared" si="11"/>
        <v>1.3280000000000001</v>
      </c>
      <c r="O116" s="441">
        <f t="shared" si="11"/>
        <v>1.3089999999999999</v>
      </c>
      <c r="P116" s="441">
        <f t="shared" si="11"/>
        <v>1.3089999999999999</v>
      </c>
      <c r="Q116" s="441">
        <f t="shared" si="11"/>
        <v>1.353</v>
      </c>
      <c r="R116" s="446" t="str">
        <f t="shared" ref="R116:R118" si="12">IF(N116&lt;Q116, "good", "bad")</f>
        <v>good</v>
      </c>
      <c r="S116" s="446" t="str">
        <f t="shared" ref="S116:S133" si="13">IF(N116&lt;Q116, "bad", "good")</f>
        <v>bad</v>
      </c>
      <c r="T116" s="446"/>
      <c r="U116" s="216">
        <f t="shared" ref="U116:Y118" si="14">M116/L116*V116</f>
        <v>293.19062003309244</v>
      </c>
      <c r="V116" s="216">
        <f t="shared" si="14"/>
        <v>324.53673051417854</v>
      </c>
      <c r="W116" s="216">
        <f t="shared" si="14"/>
        <v>342.86523562604856</v>
      </c>
      <c r="X116" s="216">
        <f t="shared" si="14"/>
        <v>347.84188916072765</v>
      </c>
      <c r="Y116" s="216">
        <f t="shared" si="14"/>
        <v>347.84188916072765</v>
      </c>
      <c r="Z116" s="216">
        <f>J116</f>
        <v>336.5299578059072</v>
      </c>
    </row>
    <row r="117" spans="4:26" x14ac:dyDescent="0.25">
      <c r="D117" s="179" t="s">
        <v>274</v>
      </c>
      <c r="E117">
        <f>COUNTIFS($F$63:$F$104, D117)</f>
        <v>2</v>
      </c>
      <c r="F117" s="3">
        <f t="shared" si="4"/>
        <v>3.3898305084745763E-2</v>
      </c>
      <c r="G117">
        <v>1.2</v>
      </c>
      <c r="H117" s="3">
        <f t="shared" si="5"/>
        <v>4.0677966101694912E-2</v>
      </c>
      <c r="I117" s="414">
        <f t="shared" si="10"/>
        <v>4.0506329113924051E-2</v>
      </c>
      <c r="J117" s="243">
        <f>I117*'Income Statement (Y)'!$H$3</f>
        <v>621.28607594936705</v>
      </c>
      <c r="L117" s="441">
        <f t="shared" si="11"/>
        <v>1.4470000000000001</v>
      </c>
      <c r="M117" s="441">
        <f t="shared" si="11"/>
        <v>1.3620000000000001</v>
      </c>
      <c r="N117" s="441">
        <f t="shared" si="11"/>
        <v>1.323</v>
      </c>
      <c r="O117" s="441">
        <f t="shared" si="11"/>
        <v>1.2729999999999999</v>
      </c>
      <c r="P117" s="441">
        <f t="shared" si="11"/>
        <v>1.3420000000000001</v>
      </c>
      <c r="Q117" s="441">
        <f t="shared" si="11"/>
        <v>1.3839999999999999</v>
      </c>
      <c r="R117" s="446" t="str">
        <f t="shared" si="12"/>
        <v>good</v>
      </c>
      <c r="S117" s="446" t="str">
        <f t="shared" si="13"/>
        <v>bad</v>
      </c>
      <c r="T117" s="446"/>
      <c r="U117" s="216">
        <f t="shared" si="14"/>
        <v>594.23630208287761</v>
      </c>
      <c r="V117" s="216">
        <f t="shared" si="14"/>
        <v>631.32153385750655</v>
      </c>
      <c r="W117" s="216">
        <f t="shared" si="14"/>
        <v>649.9319192093152</v>
      </c>
      <c r="X117" s="216">
        <f t="shared" si="14"/>
        <v>675.45948869907625</v>
      </c>
      <c r="Y117" s="216">
        <f t="shared" si="14"/>
        <v>640.73020053198502</v>
      </c>
      <c r="Z117" s="216">
        <f>J117</f>
        <v>621.28607594936705</v>
      </c>
    </row>
    <row r="118" spans="4:26" x14ac:dyDescent="0.25">
      <c r="D118" s="179" t="s">
        <v>259</v>
      </c>
      <c r="E118">
        <f>COUNTIFS($F$63:$F$104, D118)</f>
        <v>1</v>
      </c>
      <c r="F118" s="3">
        <f t="shared" si="4"/>
        <v>1.6949152542372881E-2</v>
      </c>
      <c r="G118">
        <v>1.2</v>
      </c>
      <c r="H118" s="3">
        <f t="shared" si="5"/>
        <v>2.0338983050847456E-2</v>
      </c>
      <c r="I118" s="414">
        <f t="shared" si="10"/>
        <v>2.0253164556962026E-2</v>
      </c>
      <c r="J118" s="243">
        <f>I118*'Income Statement (Y)'!$H$3</f>
        <v>310.64303797468352</v>
      </c>
      <c r="L118" s="441">
        <f t="shared" si="11"/>
        <v>1172</v>
      </c>
      <c r="M118" s="441">
        <f t="shared" si="11"/>
        <v>1143</v>
      </c>
      <c r="N118" s="441">
        <f t="shared" si="11"/>
        <v>1033</v>
      </c>
      <c r="O118" s="441">
        <f t="shared" si="11"/>
        <v>1035</v>
      </c>
      <c r="P118" s="441">
        <f t="shared" si="11"/>
        <v>1088</v>
      </c>
      <c r="Q118" s="441">
        <f t="shared" si="11"/>
        <v>1121</v>
      </c>
      <c r="R118" s="446" t="str">
        <f t="shared" si="12"/>
        <v>good</v>
      </c>
      <c r="S118" s="446" t="str">
        <f t="shared" si="13"/>
        <v>bad</v>
      </c>
      <c r="T118" s="446"/>
      <c r="U118" s="216">
        <f t="shared" si="14"/>
        <v>297.12529485462477</v>
      </c>
      <c r="V118" s="216">
        <f t="shared" si="14"/>
        <v>304.66390688505709</v>
      </c>
      <c r="W118" s="216">
        <f t="shared" si="14"/>
        <v>337.1063364662345</v>
      </c>
      <c r="X118" s="216">
        <f t="shared" si="14"/>
        <v>336.4549232556717</v>
      </c>
      <c r="Y118" s="216">
        <f t="shared" si="14"/>
        <v>320.06511541325386</v>
      </c>
      <c r="Z118" s="216">
        <f>J118</f>
        <v>310.64303797468352</v>
      </c>
    </row>
    <row r="119" spans="4:26" x14ac:dyDescent="0.25">
      <c r="D119" s="418" t="s">
        <v>354</v>
      </c>
      <c r="E119" s="1">
        <f>SUBTOTAL(9,E120:E124)</f>
        <v>8</v>
      </c>
      <c r="F119" s="415">
        <f t="shared" si="4"/>
        <v>0.13559322033898305</v>
      </c>
      <c r="G119" s="1"/>
      <c r="H119" s="415"/>
      <c r="I119" s="416">
        <f>SUBTOTAL(9,I120:I124)</f>
        <v>0.17046413502109703</v>
      </c>
      <c r="L119" s="398"/>
      <c r="M119" s="398"/>
      <c r="N119" s="398"/>
      <c r="O119" s="398"/>
      <c r="P119" s="398"/>
      <c r="Q119" s="398"/>
      <c r="R119" s="446"/>
      <c r="S119" s="446"/>
      <c r="T119" s="446"/>
    </row>
    <row r="120" spans="4:26" x14ac:dyDescent="0.25">
      <c r="D120" s="179" t="s">
        <v>279</v>
      </c>
      <c r="E120">
        <f>COUNTIFS($F$63:$F$104, D120)</f>
        <v>1</v>
      </c>
      <c r="F120" s="3">
        <f t="shared" si="4"/>
        <v>1.6949152542372881E-2</v>
      </c>
      <c r="G120">
        <v>1.2</v>
      </c>
      <c r="H120" s="3">
        <f t="shared" si="5"/>
        <v>2.0338983050847456E-2</v>
      </c>
      <c r="I120" s="414">
        <f>H120/$H$109</f>
        <v>2.0253164556962026E-2</v>
      </c>
      <c r="J120" s="243">
        <f>I120*'Income Statement (Y)'!$H$3</f>
        <v>310.64303797468352</v>
      </c>
      <c r="L120" s="290">
        <f t="shared" ref="L120:Q124" si="15">IF(Scen_ExRates=1,E151,IF(Scen_ExRates=2,E180,E208))</f>
        <v>0.96299999999999997</v>
      </c>
      <c r="M120" s="290">
        <f t="shared" si="15"/>
        <v>0.81499999999999995</v>
      </c>
      <c r="N120" s="290">
        <f t="shared" si="15"/>
        <v>0.82699999999999996</v>
      </c>
      <c r="O120" s="290">
        <f t="shared" si="15"/>
        <v>0.79100000000000004</v>
      </c>
      <c r="P120" s="290">
        <f t="shared" si="15"/>
        <v>0.86699999999999999</v>
      </c>
      <c r="Q120" s="290">
        <f t="shared" si="15"/>
        <v>0.88700000000000001</v>
      </c>
      <c r="R120" s="446" t="str">
        <f>IF(N120&lt;Q120, "good", "bad")</f>
        <v>good</v>
      </c>
      <c r="S120" s="446" t="str">
        <f t="shared" si="13"/>
        <v>bad</v>
      </c>
      <c r="T120" s="446"/>
      <c r="U120" s="216">
        <f t="shared" ref="U120:Y124" si="16">M120/L120*V120</f>
        <v>286.12707651458385</v>
      </c>
      <c r="V120" s="216">
        <f t="shared" si="16"/>
        <v>338.08634930496225</v>
      </c>
      <c r="W120" s="216">
        <f t="shared" si="16"/>
        <v>333.18062235011399</v>
      </c>
      <c r="X120" s="216">
        <f t="shared" si="16"/>
        <v>348.34434220422787</v>
      </c>
      <c r="Y120" s="216">
        <f t="shared" si="16"/>
        <v>317.8089673397281</v>
      </c>
      <c r="Z120" s="216">
        <f>J120</f>
        <v>310.64303797468352</v>
      </c>
    </row>
    <row r="121" spans="4:26" x14ac:dyDescent="0.25">
      <c r="D121" s="179" t="s">
        <v>257</v>
      </c>
      <c r="E121">
        <f>COUNTIFS($F$63:$F$104, D121)</f>
        <v>1</v>
      </c>
      <c r="F121" s="3">
        <f t="shared" si="4"/>
        <v>1.6949152542372881E-2</v>
      </c>
      <c r="G121">
        <v>1.2</v>
      </c>
      <c r="H121" s="3">
        <f t="shared" si="5"/>
        <v>2.0338983050847456E-2</v>
      </c>
      <c r="I121" s="414">
        <f>H121/$H$109</f>
        <v>2.0253164556962026E-2</v>
      </c>
      <c r="J121" s="243">
        <f>I121*'Income Statement (Y)'!$H$3</f>
        <v>310.64303797468352</v>
      </c>
      <c r="L121" s="290">
        <f t="shared" si="15"/>
        <v>0.96299999999999997</v>
      </c>
      <c r="M121" s="290">
        <f t="shared" si="15"/>
        <v>0.81499999999999995</v>
      </c>
      <c r="N121" s="290">
        <f t="shared" si="15"/>
        <v>0.82699999999999996</v>
      </c>
      <c r="O121" s="290">
        <f t="shared" si="15"/>
        <v>0.79100000000000004</v>
      </c>
      <c r="P121" s="290">
        <f t="shared" si="15"/>
        <v>0.86699999999999999</v>
      </c>
      <c r="Q121" s="290">
        <f t="shared" si="15"/>
        <v>0.88700000000000001</v>
      </c>
      <c r="R121" s="446" t="str">
        <f t="shared" ref="R121:R124" si="17">IF(N121&lt;Q121, "good", "bad")</f>
        <v>good</v>
      </c>
      <c r="S121" s="446" t="str">
        <f t="shared" si="13"/>
        <v>bad</v>
      </c>
      <c r="T121" s="446"/>
      <c r="U121" s="216">
        <f t="shared" si="16"/>
        <v>286.12707651458385</v>
      </c>
      <c r="V121" s="216">
        <f t="shared" si="16"/>
        <v>338.08634930496225</v>
      </c>
      <c r="W121" s="216">
        <f t="shared" si="16"/>
        <v>333.18062235011399</v>
      </c>
      <c r="X121" s="216">
        <f t="shared" si="16"/>
        <v>348.34434220422787</v>
      </c>
      <c r="Y121" s="216">
        <f t="shared" si="16"/>
        <v>317.8089673397281</v>
      </c>
      <c r="Z121" s="216">
        <f>J121</f>
        <v>310.64303797468352</v>
      </c>
    </row>
    <row r="122" spans="4:26" x14ac:dyDescent="0.25">
      <c r="D122" s="179" t="s">
        <v>258</v>
      </c>
      <c r="E122">
        <f>COUNTIFS($F$63:$F$104, D122)</f>
        <v>1</v>
      </c>
      <c r="F122" s="3">
        <f t="shared" si="4"/>
        <v>1.6949152542372881E-2</v>
      </c>
      <c r="G122">
        <v>1.2</v>
      </c>
      <c r="H122" s="3">
        <f t="shared" si="5"/>
        <v>2.0338983050847456E-2</v>
      </c>
      <c r="I122" s="414">
        <f>H122/$H$109</f>
        <v>2.0253164556962026E-2</v>
      </c>
      <c r="J122" s="243">
        <f>I122*'Income Statement (Y)'!$H$3</f>
        <v>310.64303797468352</v>
      </c>
      <c r="L122" s="290">
        <f t="shared" si="15"/>
        <v>0.96299999999999997</v>
      </c>
      <c r="M122" s="290">
        <f t="shared" si="15"/>
        <v>0.81499999999999995</v>
      </c>
      <c r="N122" s="290">
        <f t="shared" si="15"/>
        <v>0.82699999999999996</v>
      </c>
      <c r="O122" s="290">
        <f t="shared" si="15"/>
        <v>0.79100000000000004</v>
      </c>
      <c r="P122" s="290">
        <f t="shared" si="15"/>
        <v>0.86699999999999999</v>
      </c>
      <c r="Q122" s="290">
        <f t="shared" si="15"/>
        <v>0.88700000000000001</v>
      </c>
      <c r="R122" s="446" t="str">
        <f t="shared" si="17"/>
        <v>good</v>
      </c>
      <c r="S122" s="446" t="str">
        <f t="shared" si="13"/>
        <v>bad</v>
      </c>
      <c r="T122" s="446"/>
      <c r="U122" s="216">
        <f t="shared" si="16"/>
        <v>286.12707651458385</v>
      </c>
      <c r="V122" s="216">
        <f t="shared" si="16"/>
        <v>338.08634930496225</v>
      </c>
      <c r="W122" s="216">
        <f t="shared" si="16"/>
        <v>333.18062235011399</v>
      </c>
      <c r="X122" s="216">
        <f t="shared" si="16"/>
        <v>348.34434220422787</v>
      </c>
      <c r="Y122" s="216">
        <f t="shared" si="16"/>
        <v>317.8089673397281</v>
      </c>
      <c r="Z122" s="216">
        <f>J122</f>
        <v>310.64303797468352</v>
      </c>
    </row>
    <row r="123" spans="4:26" x14ac:dyDescent="0.25">
      <c r="D123" s="179" t="s">
        <v>261</v>
      </c>
      <c r="E123">
        <f>COUNTIFS($F$63:$F$104, D123)</f>
        <v>1</v>
      </c>
      <c r="F123" s="3">
        <f t="shared" si="4"/>
        <v>1.6949152542372881E-2</v>
      </c>
      <c r="G123">
        <v>0.9</v>
      </c>
      <c r="H123" s="3">
        <f t="shared" si="5"/>
        <v>1.5254237288135594E-2</v>
      </c>
      <c r="I123" s="414">
        <f>H123/$H$109</f>
        <v>1.518987341772152E-2</v>
      </c>
      <c r="J123" s="243">
        <f>I123*'Income Statement (Y)'!$H$3</f>
        <v>232.98227848101268</v>
      </c>
      <c r="L123" s="290">
        <f t="shared" si="15"/>
        <v>4.2667305524239012</v>
      </c>
      <c r="M123" s="290">
        <f t="shared" si="15"/>
        <v>3.6109921082299885</v>
      </c>
      <c r="N123" s="290">
        <f t="shared" si="15"/>
        <v>3.6641600901916571</v>
      </c>
      <c r="O123" s="290">
        <f t="shared" si="15"/>
        <v>3.5046561443066522</v>
      </c>
      <c r="P123" s="290">
        <f t="shared" si="15"/>
        <v>3.8413866967305528</v>
      </c>
      <c r="Q123" s="290">
        <f t="shared" si="15"/>
        <v>3.93</v>
      </c>
      <c r="R123" s="446" t="str">
        <f t="shared" si="17"/>
        <v>good</v>
      </c>
      <c r="S123" s="446" t="str">
        <f t="shared" si="13"/>
        <v>bad</v>
      </c>
      <c r="T123" s="446"/>
      <c r="U123" s="216">
        <f t="shared" si="16"/>
        <v>214.59530738593796</v>
      </c>
      <c r="V123" s="216">
        <f t="shared" si="16"/>
        <v>253.5647619787218</v>
      </c>
      <c r="W123" s="216">
        <f t="shared" si="16"/>
        <v>249.88546676258559</v>
      </c>
      <c r="X123" s="216">
        <f t="shared" si="16"/>
        <v>261.25825665317097</v>
      </c>
      <c r="Y123" s="216">
        <f t="shared" si="16"/>
        <v>238.35672550479615</v>
      </c>
      <c r="Z123" s="216">
        <f>J123</f>
        <v>232.98227848101268</v>
      </c>
    </row>
    <row r="124" spans="4:26" x14ac:dyDescent="0.25">
      <c r="D124" s="179" t="s">
        <v>254</v>
      </c>
      <c r="E124">
        <f>COUNTIFS($F$63:$F$104, D124)</f>
        <v>4</v>
      </c>
      <c r="F124" s="3">
        <f t="shared" si="4"/>
        <v>6.7796610169491525E-2</v>
      </c>
      <c r="G124">
        <f>G110*1.4</f>
        <v>1.4</v>
      </c>
      <c r="H124" s="3">
        <f t="shared" si="5"/>
        <v>9.4915254237288124E-2</v>
      </c>
      <c r="I124" s="414">
        <f>H124/$H$109</f>
        <v>9.4514767932489446E-2</v>
      </c>
      <c r="J124" s="243">
        <f>I124*'Income Statement (Y)'!$H$3</f>
        <v>1449.6675105485231</v>
      </c>
      <c r="L124" s="290">
        <f t="shared" si="15"/>
        <v>0.86699999999999999</v>
      </c>
      <c r="M124" s="290">
        <f t="shared" si="15"/>
        <v>0.79500000000000004</v>
      </c>
      <c r="N124" s="290">
        <f t="shared" si="15"/>
        <v>0.75800000000000001</v>
      </c>
      <c r="O124" s="290">
        <f t="shared" si="15"/>
        <v>0.72699999999999998</v>
      </c>
      <c r="P124" s="290">
        <f t="shared" si="15"/>
        <v>0.75</v>
      </c>
      <c r="Q124" s="290">
        <f t="shared" si="15"/>
        <v>0.77500000000000002</v>
      </c>
      <c r="R124" s="446" t="str">
        <f t="shared" si="17"/>
        <v>good</v>
      </c>
      <c r="S124" s="446" t="str">
        <f t="shared" si="13"/>
        <v>bad</v>
      </c>
      <c r="T124" s="446"/>
      <c r="U124" s="216">
        <f t="shared" si="16"/>
        <v>1295.8388935122323</v>
      </c>
      <c r="V124" s="216">
        <f t="shared" si="16"/>
        <v>1413.197887641642</v>
      </c>
      <c r="W124" s="216">
        <f t="shared" si="16"/>
        <v>1482.1798425792947</v>
      </c>
      <c r="X124" s="216">
        <f t="shared" si="16"/>
        <v>1545.3814589753858</v>
      </c>
      <c r="Y124" s="216">
        <f t="shared" si="16"/>
        <v>1497.9897609001407</v>
      </c>
      <c r="Z124" s="216">
        <f>J124</f>
        <v>1449.6675105485231</v>
      </c>
    </row>
    <row r="125" spans="4:26" x14ac:dyDescent="0.25">
      <c r="D125" s="418" t="s">
        <v>355</v>
      </c>
      <c r="E125" s="1">
        <f>SUBTOTAL(9,E126:E128)</f>
        <v>5</v>
      </c>
      <c r="F125" s="415">
        <f t="shared" si="4"/>
        <v>8.4745762711864403E-2</v>
      </c>
      <c r="G125" s="1"/>
      <c r="H125" s="415"/>
      <c r="I125" s="416">
        <f>SUBTOTAL(9,I126:I128)</f>
        <v>7.763713080168777E-2</v>
      </c>
      <c r="L125" s="398"/>
      <c r="M125" s="398"/>
      <c r="N125" s="398"/>
      <c r="O125" s="398"/>
      <c r="P125" s="398"/>
      <c r="Q125" s="398"/>
      <c r="R125" s="446"/>
      <c r="S125" s="446"/>
      <c r="T125" s="446"/>
    </row>
    <row r="126" spans="4:26" x14ac:dyDescent="0.25">
      <c r="D126" s="179" t="s">
        <v>262</v>
      </c>
      <c r="E126">
        <f t="shared" ref="E126:E131" si="18">COUNTIFS($F$63:$F$104, D126)</f>
        <v>1</v>
      </c>
      <c r="F126" s="3">
        <f t="shared" si="4"/>
        <v>1.6949152542372881E-2</v>
      </c>
      <c r="G126">
        <v>0.8</v>
      </c>
      <c r="H126" s="3">
        <f t="shared" si="5"/>
        <v>1.3559322033898306E-2</v>
      </c>
      <c r="I126" s="414">
        <f t="shared" ref="I126:I131" si="19">H126/$H$109</f>
        <v>1.3502109704641352E-2</v>
      </c>
      <c r="J126" s="243">
        <f>I126*'Income Statement (Y)'!$H$3</f>
        <v>207.09535864978906</v>
      </c>
      <c r="L126" s="290">
        <f t="shared" ref="L126:Q133" si="20">IF(Scen_ExRates=1,E157,IF(Scen_ExRates=2,E186,E214))</f>
        <v>14.932</v>
      </c>
      <c r="M126" s="290">
        <f t="shared" si="20"/>
        <v>13.807</v>
      </c>
      <c r="N126" s="290">
        <f t="shared" si="20"/>
        <v>12.103</v>
      </c>
      <c r="O126" s="290">
        <f t="shared" si="20"/>
        <v>13.048</v>
      </c>
      <c r="P126" s="290">
        <f t="shared" si="20"/>
        <v>13.032</v>
      </c>
      <c r="Q126" s="290">
        <f t="shared" si="20"/>
        <v>12.904999999999999</v>
      </c>
      <c r="R126" s="446" t="str">
        <f t="shared" ref="R126:R133" si="21">IF(N126&lt;Q126, "good", "bad")</f>
        <v>good</v>
      </c>
      <c r="S126" s="446" t="str">
        <f t="shared" si="13"/>
        <v>bad</v>
      </c>
      <c r="T126" s="446"/>
      <c r="U126" s="216">
        <f t="shared" ref="U126:Y131" si="22">M126/L126*V126</f>
        <v>178.9824272284709</v>
      </c>
      <c r="V126" s="216">
        <f t="shared" si="22"/>
        <v>193.56598851130062</v>
      </c>
      <c r="W126" s="216">
        <f t="shared" si="22"/>
        <v>220.81844198756735</v>
      </c>
      <c r="X126" s="216">
        <f t="shared" si="22"/>
        <v>204.82569001958367</v>
      </c>
      <c r="Y126" s="216">
        <f t="shared" si="22"/>
        <v>205.07716416325411</v>
      </c>
      <c r="Z126" s="216">
        <f t="shared" ref="Z126:Z131" si="23">J126</f>
        <v>207.09535864978906</v>
      </c>
    </row>
    <row r="127" spans="4:26" x14ac:dyDescent="0.25">
      <c r="D127" s="179" t="s">
        <v>275</v>
      </c>
      <c r="E127">
        <f t="shared" si="18"/>
        <v>3</v>
      </c>
      <c r="F127" s="3">
        <f t="shared" si="4"/>
        <v>5.0847457627118647E-2</v>
      </c>
      <c r="G127">
        <v>0.8</v>
      </c>
      <c r="H127" s="3">
        <f t="shared" si="5"/>
        <v>4.0677966101694919E-2</v>
      </c>
      <c r="I127" s="414">
        <f t="shared" si="19"/>
        <v>4.0506329113924058E-2</v>
      </c>
      <c r="J127" s="243">
        <f>I127*'Income Statement (Y)'!$H$3</f>
        <v>621.28607594936716</v>
      </c>
      <c r="L127" s="290">
        <f t="shared" si="20"/>
        <v>14.932</v>
      </c>
      <c r="M127" s="290">
        <f t="shared" si="20"/>
        <v>13.807</v>
      </c>
      <c r="N127" s="290">
        <f t="shared" si="20"/>
        <v>12.103</v>
      </c>
      <c r="O127" s="290">
        <f t="shared" si="20"/>
        <v>13.048</v>
      </c>
      <c r="P127" s="290">
        <f t="shared" si="20"/>
        <v>13.032</v>
      </c>
      <c r="Q127" s="290">
        <f t="shared" si="20"/>
        <v>12.904999999999999</v>
      </c>
      <c r="R127" s="446" t="str">
        <f t="shared" si="21"/>
        <v>good</v>
      </c>
      <c r="S127" s="446" t="str">
        <f t="shared" si="13"/>
        <v>bad</v>
      </c>
      <c r="T127" s="446"/>
      <c r="U127" s="216">
        <f t="shared" si="22"/>
        <v>536.9472816854128</v>
      </c>
      <c r="V127" s="216">
        <f t="shared" si="22"/>
        <v>580.69796553390188</v>
      </c>
      <c r="W127" s="216">
        <f t="shared" si="22"/>
        <v>662.45532596270209</v>
      </c>
      <c r="X127" s="216">
        <f t="shared" si="22"/>
        <v>614.477070058751</v>
      </c>
      <c r="Y127" s="216">
        <f t="shared" si="22"/>
        <v>615.23149248976233</v>
      </c>
      <c r="Z127" s="216">
        <f t="shared" si="23"/>
        <v>621.28607594936716</v>
      </c>
    </row>
    <row r="128" spans="4:26" x14ac:dyDescent="0.25">
      <c r="D128" s="179" t="s">
        <v>280</v>
      </c>
      <c r="E128">
        <f t="shared" si="18"/>
        <v>1</v>
      </c>
      <c r="F128" s="3">
        <f t="shared" si="4"/>
        <v>1.6949152542372881E-2</v>
      </c>
      <c r="G128">
        <v>1.4</v>
      </c>
      <c r="H128" s="3">
        <f t="shared" si="5"/>
        <v>2.3728813559322031E-2</v>
      </c>
      <c r="I128" s="414">
        <f t="shared" si="19"/>
        <v>2.3628691983122362E-2</v>
      </c>
      <c r="J128" s="243">
        <f>I128*'Income Statement (Y)'!$H$3</f>
        <v>362.41687763713077</v>
      </c>
      <c r="L128" s="290">
        <f t="shared" si="20"/>
        <v>14.932</v>
      </c>
      <c r="M128" s="290">
        <f t="shared" si="20"/>
        <v>13.807</v>
      </c>
      <c r="N128" s="290">
        <f t="shared" si="20"/>
        <v>12.103</v>
      </c>
      <c r="O128" s="290">
        <f t="shared" si="20"/>
        <v>13.048</v>
      </c>
      <c r="P128" s="290">
        <f t="shared" si="20"/>
        <v>13.032</v>
      </c>
      <c r="Q128" s="290">
        <f t="shared" si="20"/>
        <v>12.904999999999999</v>
      </c>
      <c r="R128" s="446" t="str">
        <f t="shared" si="21"/>
        <v>good</v>
      </c>
      <c r="S128" s="446" t="str">
        <f t="shared" si="13"/>
        <v>bad</v>
      </c>
      <c r="T128" s="446"/>
      <c r="U128" s="216">
        <f t="shared" si="22"/>
        <v>313.21924764982401</v>
      </c>
      <c r="V128" s="216">
        <f t="shared" si="22"/>
        <v>338.740479894776</v>
      </c>
      <c r="W128" s="216">
        <f t="shared" si="22"/>
        <v>386.43227347824279</v>
      </c>
      <c r="X128" s="216">
        <f t="shared" si="22"/>
        <v>358.44495753427134</v>
      </c>
      <c r="Y128" s="216">
        <f t="shared" si="22"/>
        <v>358.88503728569464</v>
      </c>
      <c r="Z128" s="216">
        <f t="shared" si="23"/>
        <v>362.41687763713077</v>
      </c>
    </row>
    <row r="129" spans="2:26" x14ac:dyDescent="0.25">
      <c r="D129" s="418" t="s">
        <v>256</v>
      </c>
      <c r="E129" s="1">
        <f t="shared" si="18"/>
        <v>6</v>
      </c>
      <c r="F129" s="415">
        <f t="shared" si="4"/>
        <v>0.10169491525423729</v>
      </c>
      <c r="G129" s="1">
        <v>0.9</v>
      </c>
      <c r="H129" s="415">
        <f t="shared" si="5"/>
        <v>9.1525423728813574E-2</v>
      </c>
      <c r="I129" s="416">
        <f t="shared" si="19"/>
        <v>9.1139240506329128E-2</v>
      </c>
      <c r="J129" s="243">
        <f>I129*'Income Statement (Y)'!$H$3</f>
        <v>1397.8936708860761</v>
      </c>
      <c r="L129" s="290">
        <f t="shared" si="20"/>
        <v>6.5590000000000002</v>
      </c>
      <c r="M129" s="290">
        <f t="shared" si="20"/>
        <v>6.6189999999999998</v>
      </c>
      <c r="N129" s="290">
        <f t="shared" si="20"/>
        <v>6.343</v>
      </c>
      <c r="O129" s="290">
        <f t="shared" si="20"/>
        <v>5.96</v>
      </c>
      <c r="P129" s="290">
        <f t="shared" si="20"/>
        <v>6.42</v>
      </c>
      <c r="Q129" s="290">
        <f t="shared" si="20"/>
        <v>6.8010000000000002</v>
      </c>
      <c r="R129" s="446" t="str">
        <f t="shared" si="21"/>
        <v>good</v>
      </c>
      <c r="S129" s="446" t="str">
        <f t="shared" si="13"/>
        <v>bad</v>
      </c>
      <c r="T129" s="446"/>
      <c r="U129" s="216">
        <f t="shared" si="22"/>
        <v>1449.4701716261934</v>
      </c>
      <c r="V129" s="216">
        <f t="shared" si="22"/>
        <v>1436.3309949684549</v>
      </c>
      <c r="W129" s="216">
        <f t="shared" si="22"/>
        <v>1498.8293955062593</v>
      </c>
      <c r="X129" s="216">
        <f t="shared" si="22"/>
        <v>1595.1467878684905</v>
      </c>
      <c r="Y129" s="216">
        <f t="shared" si="22"/>
        <v>1480.8527812610907</v>
      </c>
      <c r="Z129" s="216">
        <f t="shared" si="23"/>
        <v>1397.8936708860761</v>
      </c>
    </row>
    <row r="130" spans="2:26" x14ac:dyDescent="0.25">
      <c r="D130" s="418" t="s">
        <v>235</v>
      </c>
      <c r="E130" s="1">
        <f t="shared" si="18"/>
        <v>4</v>
      </c>
      <c r="F130" s="415">
        <f t="shared" si="4"/>
        <v>6.7796610169491525E-2</v>
      </c>
      <c r="G130" s="1">
        <v>0.8</v>
      </c>
      <c r="H130" s="415">
        <f t="shared" si="5"/>
        <v>5.4237288135593226E-2</v>
      </c>
      <c r="I130" s="416">
        <f t="shared" si="19"/>
        <v>5.4008438818565409E-2</v>
      </c>
      <c r="J130" s="243">
        <f>I130*'Income Statement (Y)'!$H$3</f>
        <v>828.38143459915625</v>
      </c>
      <c r="L130" s="290">
        <f t="shared" si="20"/>
        <v>76.53</v>
      </c>
      <c r="M130" s="290">
        <f t="shared" si="20"/>
        <v>72.72</v>
      </c>
      <c r="N130" s="290">
        <f t="shared" si="20"/>
        <v>70.099999999999994</v>
      </c>
      <c r="O130" s="290">
        <f t="shared" si="20"/>
        <v>72.430000000000007</v>
      </c>
      <c r="P130" s="290">
        <f t="shared" si="20"/>
        <v>69.06</v>
      </c>
      <c r="Q130" s="290">
        <f t="shared" si="20"/>
        <v>64.257000000000005</v>
      </c>
      <c r="R130" s="446" t="str">
        <f t="shared" si="21"/>
        <v>bad</v>
      </c>
      <c r="S130" s="446" t="str">
        <f t="shared" si="13"/>
        <v>good</v>
      </c>
      <c r="T130" s="446"/>
      <c r="U130" s="216">
        <f t="shared" si="22"/>
        <v>695.53516063031486</v>
      </c>
      <c r="V130" s="216">
        <f t="shared" si="22"/>
        <v>731.97615295706817</v>
      </c>
      <c r="W130" s="216">
        <f t="shared" si="22"/>
        <v>759.33389219740366</v>
      </c>
      <c r="X130" s="216">
        <f t="shared" si="22"/>
        <v>734.90688724337963</v>
      </c>
      <c r="Y130" s="216">
        <f t="shared" si="22"/>
        <v>770.76898121977968</v>
      </c>
      <c r="Z130" s="216">
        <f t="shared" si="23"/>
        <v>828.38143459915625</v>
      </c>
    </row>
    <row r="131" spans="2:26" x14ac:dyDescent="0.25">
      <c r="D131" s="418" t="s">
        <v>273</v>
      </c>
      <c r="E131" s="1">
        <f t="shared" si="18"/>
        <v>2</v>
      </c>
      <c r="F131" s="415">
        <f t="shared" si="4"/>
        <v>3.3898305084745763E-2</v>
      </c>
      <c r="G131" s="1">
        <v>0.9</v>
      </c>
      <c r="H131" s="415">
        <f t="shared" si="5"/>
        <v>3.0508474576271188E-2</v>
      </c>
      <c r="I131" s="416">
        <f t="shared" si="19"/>
        <v>3.037974683544304E-2</v>
      </c>
      <c r="J131" s="243">
        <f>I131*'Income Statement (Y)'!$H$3</f>
        <v>465.96455696202537</v>
      </c>
      <c r="L131" s="290">
        <f t="shared" si="20"/>
        <v>69.92</v>
      </c>
      <c r="M131" s="290">
        <f t="shared" si="20"/>
        <v>65.31</v>
      </c>
      <c r="N131" s="290">
        <f t="shared" si="20"/>
        <v>57.28</v>
      </c>
      <c r="O131" s="290">
        <f t="shared" si="20"/>
        <v>62.58</v>
      </c>
      <c r="P131" s="290">
        <f t="shared" si="20"/>
        <v>61.41</v>
      </c>
      <c r="Q131" s="290">
        <f t="shared" si="20"/>
        <v>56.247</v>
      </c>
      <c r="R131" s="446" t="str">
        <f t="shared" si="21"/>
        <v>bad</v>
      </c>
      <c r="S131" s="446" t="str">
        <f t="shared" si="13"/>
        <v>good</v>
      </c>
      <c r="T131" s="446"/>
      <c r="U131" s="216">
        <f t="shared" si="22"/>
        <v>374.84422819569562</v>
      </c>
      <c r="V131" s="216">
        <f t="shared" si="22"/>
        <v>401.30314554345489</v>
      </c>
      <c r="W131" s="216">
        <f t="shared" si="22"/>
        <v>457.56125061876816</v>
      </c>
      <c r="X131" s="216">
        <f t="shared" si="22"/>
        <v>418.80965860407542</v>
      </c>
      <c r="Y131" s="216">
        <f t="shared" si="22"/>
        <v>426.78893397562354</v>
      </c>
      <c r="Z131" s="216">
        <f t="shared" si="23"/>
        <v>465.96455696202537</v>
      </c>
    </row>
    <row r="132" spans="2:26" x14ac:dyDescent="0.25">
      <c r="D132" s="418" t="s">
        <v>356</v>
      </c>
      <c r="E132" s="1">
        <f>SUBTOTAL(9,E133)</f>
        <v>4</v>
      </c>
      <c r="F132" s="415">
        <f t="shared" si="4"/>
        <v>6.7796610169491525E-2</v>
      </c>
      <c r="G132" s="1"/>
      <c r="H132" s="415"/>
      <c r="I132" s="416">
        <f>SUBTOTAL(9,I133)</f>
        <v>6.0759493670886081E-2</v>
      </c>
      <c r="L132" s="290">
        <f t="shared" si="20"/>
        <v>5.1100000000000003</v>
      </c>
      <c r="M132" s="290">
        <f t="shared" si="20"/>
        <v>4.4359999999999999</v>
      </c>
      <c r="N132" s="290">
        <f t="shared" si="20"/>
        <v>4.2210000000000001</v>
      </c>
      <c r="O132" s="290">
        <f t="shared" si="20"/>
        <v>4.3650000000000002</v>
      </c>
      <c r="P132" s="290">
        <f t="shared" si="20"/>
        <v>3.95</v>
      </c>
      <c r="Q132" s="290">
        <f t="shared" si="20"/>
        <v>3.2189999999999999</v>
      </c>
      <c r="R132" s="446" t="str">
        <f t="shared" si="21"/>
        <v>bad</v>
      </c>
      <c r="S132" s="446" t="str">
        <f t="shared" si="13"/>
        <v>good</v>
      </c>
      <c r="T132" s="446"/>
    </row>
    <row r="133" spans="2:26" x14ac:dyDescent="0.25">
      <c r="D133" s="179" t="s">
        <v>253</v>
      </c>
      <c r="E133">
        <f>COUNTIFS($F$63:$F$104, D133)</f>
        <v>4</v>
      </c>
      <c r="F133" s="3">
        <f t="shared" si="4"/>
        <v>6.7796610169491525E-2</v>
      </c>
      <c r="G133">
        <v>0.9</v>
      </c>
      <c r="H133" s="3">
        <f t="shared" si="5"/>
        <v>6.1016949152542375E-2</v>
      </c>
      <c r="I133" s="414">
        <f>H133/$H$109</f>
        <v>6.0759493670886081E-2</v>
      </c>
      <c r="J133" s="243">
        <f>I133*'Income Statement (Y)'!$H$3</f>
        <v>931.92911392405074</v>
      </c>
      <c r="L133" s="290">
        <f t="shared" si="20"/>
        <v>5.1100000000000003</v>
      </c>
      <c r="M133" s="290">
        <f t="shared" si="20"/>
        <v>4.4359999999999999</v>
      </c>
      <c r="N133" s="290">
        <f t="shared" si="20"/>
        <v>4.2210000000000001</v>
      </c>
      <c r="O133" s="290">
        <f t="shared" si="20"/>
        <v>4.3650000000000002</v>
      </c>
      <c r="P133" s="290">
        <f t="shared" si="20"/>
        <v>3.95</v>
      </c>
      <c r="Q133" s="290">
        <f t="shared" si="20"/>
        <v>3.2189999999999999</v>
      </c>
      <c r="R133" s="446" t="str">
        <f t="shared" si="21"/>
        <v>bad</v>
      </c>
      <c r="S133" s="446" t="str">
        <f t="shared" si="13"/>
        <v>good</v>
      </c>
      <c r="T133" s="446"/>
      <c r="U133" s="216">
        <f>M133/L133*V133</f>
        <v>587.06062969109951</v>
      </c>
      <c r="V133" s="216">
        <f>N133/M133*W133</f>
        <v>676.25784890025227</v>
      </c>
      <c r="W133" s="216">
        <f>O133/N133*X133</f>
        <v>710.70358154975577</v>
      </c>
      <c r="X133" s="216">
        <f>P133/O133*Y133</f>
        <v>687.25769019966071</v>
      </c>
      <c r="Y133" s="216">
        <f>Q133/P133*Z133</f>
        <v>759.46324499278967</v>
      </c>
      <c r="Z133" s="216">
        <f>J133</f>
        <v>931.92911392405074</v>
      </c>
    </row>
    <row r="136" spans="2:26" x14ac:dyDescent="0.25">
      <c r="D136" s="9"/>
      <c r="T136" t="s">
        <v>1117</v>
      </c>
      <c r="U136" s="290">
        <f>U110/V110</f>
        <v>1.0206999999999999</v>
      </c>
      <c r="V136" s="290">
        <f t="shared" ref="V136:Y136" si="24">V110/W110</f>
        <v>1.0204</v>
      </c>
      <c r="W136" s="290">
        <f t="shared" si="24"/>
        <v>1.0213000000000001</v>
      </c>
      <c r="X136" s="290">
        <f t="shared" si="24"/>
        <v>1.0244</v>
      </c>
      <c r="Y136" s="290">
        <f t="shared" si="24"/>
        <v>1.0254000000000001</v>
      </c>
      <c r="Z136">
        <v>1</v>
      </c>
    </row>
    <row r="137" spans="2:26" x14ac:dyDescent="0.25">
      <c r="T137" t="s">
        <v>780</v>
      </c>
      <c r="U137" s="290">
        <f>U111/V111</f>
        <v>0.92404978650094005</v>
      </c>
      <c r="V137" s="290">
        <f>V111/W111</f>
        <v>0.94607815236873072</v>
      </c>
      <c r="W137" s="290">
        <f>W111/X111</f>
        <v>0.98901296123465843</v>
      </c>
      <c r="X137" s="290">
        <f>X111/Y111</f>
        <v>1.0250068822900955</v>
      </c>
      <c r="Y137" s="290">
        <f>Y111/Z111</f>
        <v>0.98448666099876836</v>
      </c>
      <c r="Z137">
        <v>1</v>
      </c>
    </row>
    <row r="138" spans="2:26" x14ac:dyDescent="0.25">
      <c r="D138" t="s">
        <v>1359</v>
      </c>
    </row>
    <row r="139" spans="2:26" x14ac:dyDescent="0.25">
      <c r="L139" t="s">
        <v>1360</v>
      </c>
      <c r="T139" t="s">
        <v>1331</v>
      </c>
    </row>
    <row r="140" spans="2:26" x14ac:dyDescent="0.25">
      <c r="E140" s="441">
        <v>2022</v>
      </c>
      <c r="F140" s="441">
        <v>2021</v>
      </c>
      <c r="G140" s="441">
        <v>2020</v>
      </c>
      <c r="H140" s="441">
        <v>2019</v>
      </c>
      <c r="I140" s="441">
        <v>2018</v>
      </c>
      <c r="J140" s="441">
        <v>2017</v>
      </c>
      <c r="K140" t="s">
        <v>1229</v>
      </c>
      <c r="L140" t="s">
        <v>1116</v>
      </c>
      <c r="M140" t="s">
        <v>1025</v>
      </c>
      <c r="T140" t="s">
        <v>1117</v>
      </c>
      <c r="U140">
        <f t="shared" ref="U140:W140" si="25">U136*V136</f>
        <v>1.0415222799999999</v>
      </c>
      <c r="V140">
        <f t="shared" si="25"/>
        <v>1.0421345200000001</v>
      </c>
      <c r="W140">
        <f t="shared" si="25"/>
        <v>1.0462197200000001</v>
      </c>
      <c r="X140">
        <f>X136*Y136</f>
        <v>1.05041976</v>
      </c>
      <c r="Y140">
        <f>Y136*Z136</f>
        <v>1.0254000000000001</v>
      </c>
    </row>
    <row r="141" spans="2:26" x14ac:dyDescent="0.25">
      <c r="D141" s="1" t="s">
        <v>1117</v>
      </c>
      <c r="E141" s="441">
        <v>1</v>
      </c>
      <c r="F141" s="441">
        <v>1</v>
      </c>
      <c r="G141" s="441">
        <v>1</v>
      </c>
      <c r="H141" s="441">
        <v>1</v>
      </c>
      <c r="I141" s="441">
        <v>1</v>
      </c>
      <c r="J141" s="441">
        <v>1</v>
      </c>
      <c r="T141" t="s">
        <v>780</v>
      </c>
      <c r="U141">
        <f t="shared" ref="U141:X141" si="26">U137*V137</f>
        <v>0.87422331470952941</v>
      </c>
      <c r="V141">
        <f t="shared" si="26"/>
        <v>0.93568355503361278</v>
      </c>
      <c r="W141">
        <f t="shared" si="26"/>
        <v>1.0137450919396322</v>
      </c>
      <c r="X141">
        <f t="shared" si="26"/>
        <v>1.0091056030465337</v>
      </c>
      <c r="Y141">
        <f t="shared" ref="Y141" si="27">Y137*Z137</f>
        <v>0.98448666099876836</v>
      </c>
    </row>
    <row r="142" spans="2:26" x14ac:dyDescent="0.25">
      <c r="B142" t="s">
        <v>296</v>
      </c>
      <c r="D142" s="1" t="s">
        <v>780</v>
      </c>
      <c r="E142" s="441"/>
      <c r="F142" s="441"/>
      <c r="G142" s="441"/>
      <c r="H142" s="441"/>
      <c r="I142" s="441"/>
      <c r="J142" s="441"/>
    </row>
    <row r="143" spans="2:26" x14ac:dyDescent="0.25">
      <c r="D143" s="418" t="s">
        <v>1306</v>
      </c>
      <c r="E143" s="243">
        <f t="shared" ref="E143:I143" si="28">SUMPRODUCT(E144:E145*($I$113:$I$114/$I$112))</f>
        <v>20.07328767123288</v>
      </c>
      <c r="F143" s="243">
        <f t="shared" si="28"/>
        <v>17.671849315068496</v>
      </c>
      <c r="G143" s="243">
        <f t="shared" si="28"/>
        <v>16.144219178082192</v>
      </c>
      <c r="H143" s="243">
        <f t="shared" si="28"/>
        <v>15.61064383561644</v>
      </c>
      <c r="I143" s="243">
        <f t="shared" si="28"/>
        <v>15.904383561643838</v>
      </c>
      <c r="J143" s="243">
        <f>SUMPRODUCT(J144:J145*($I$113:$I$114/$I$112))</f>
        <v>14.169068493150686</v>
      </c>
    </row>
    <row r="144" spans="2:26" x14ac:dyDescent="0.25">
      <c r="D144" s="179" t="s">
        <v>272</v>
      </c>
      <c r="E144" s="441">
        <v>1.41</v>
      </c>
      <c r="F144" s="441">
        <v>1.335</v>
      </c>
      <c r="G144" s="441">
        <v>1.292</v>
      </c>
      <c r="H144" s="441">
        <v>1.2030000000000001</v>
      </c>
      <c r="I144" s="441">
        <v>1.28</v>
      </c>
      <c r="J144" s="441">
        <v>1.34</v>
      </c>
      <c r="K144" s="16">
        <f>(E144-J144)/5</f>
        <v>1.3999999999999967E-2</v>
      </c>
      <c r="L144" s="12"/>
      <c r="M144" t="s">
        <v>1361</v>
      </c>
      <c r="T144" t="s">
        <v>1338</v>
      </c>
    </row>
    <row r="145" spans="4:26" x14ac:dyDescent="0.25">
      <c r="D145" s="179" t="s">
        <v>260</v>
      </c>
      <c r="E145" s="441">
        <v>26.64</v>
      </c>
      <c r="F145" s="441">
        <v>23.42</v>
      </c>
      <c r="G145" s="441">
        <v>21.37</v>
      </c>
      <c r="H145" s="441">
        <v>20.68</v>
      </c>
      <c r="I145" s="441">
        <v>21.05</v>
      </c>
      <c r="J145" s="441">
        <v>18.683</v>
      </c>
      <c r="K145" s="16">
        <f>(E145-J145)/5</f>
        <v>1.5914000000000001</v>
      </c>
      <c r="L145" s="12"/>
      <c r="M145" t="s">
        <v>1361</v>
      </c>
      <c r="T145" t="s">
        <v>1117</v>
      </c>
      <c r="U145" s="11">
        <f>U110</f>
        <v>6363.3797135586856</v>
      </c>
      <c r="V145" s="11">
        <f t="shared" ref="V145:Z145" si="29">V110</f>
        <v>6234.3291011645788</v>
      </c>
      <c r="W145" s="11">
        <f t="shared" si="29"/>
        <v>6109.6913966724605</v>
      </c>
      <c r="X145" s="11">
        <f t="shared" si="29"/>
        <v>5982.2690655756978</v>
      </c>
      <c r="Y145" s="11">
        <f t="shared" si="29"/>
        <v>5839.7784708860772</v>
      </c>
      <c r="Z145" s="11">
        <f t="shared" si="29"/>
        <v>5695.1223628691987</v>
      </c>
    </row>
    <row r="146" spans="4:26" x14ac:dyDescent="0.25">
      <c r="D146" s="418" t="s">
        <v>353</v>
      </c>
      <c r="E146" s="243">
        <f t="shared" ref="E146:I146" si="30">SUMPRODUCT(E147:E149*($I$116:$I$118/$I$115))</f>
        <v>288.14116326530609</v>
      </c>
      <c r="F146" s="243">
        <f t="shared" si="30"/>
        <v>280.95769387755104</v>
      </c>
      <c r="G146" s="243">
        <f t="shared" si="30"/>
        <v>253.97991836734695</v>
      </c>
      <c r="H146" s="243">
        <f t="shared" si="30"/>
        <v>254.44018367346939</v>
      </c>
      <c r="I146" s="243">
        <f t="shared" si="30"/>
        <v>267.45357142857142</v>
      </c>
      <c r="J146" s="243">
        <f>SUMPRODUCT(J147:J149*($I$116:$I$118/$I$115))</f>
        <v>275.5674489795918</v>
      </c>
      <c r="K146" s="12"/>
      <c r="L146" s="12"/>
      <c r="T146" t="s">
        <v>780</v>
      </c>
      <c r="U146" s="11">
        <f>U109-U145</f>
        <v>8413.3245241226286</v>
      </c>
      <c r="V146" s="11">
        <f t="shared" ref="V146:Z146" si="31">V109-V145</f>
        <v>9104.838989229138</v>
      </c>
      <c r="W146" s="11">
        <f t="shared" si="31"/>
        <v>9623.7704743873674</v>
      </c>
      <c r="X146" s="11">
        <f t="shared" si="31"/>
        <v>9730.6818531208082</v>
      </c>
      <c r="Y146" s="11">
        <f t="shared" si="31"/>
        <v>9493.2844073985943</v>
      </c>
      <c r="Z146" s="11">
        <f t="shared" si="31"/>
        <v>9642.8776371308031</v>
      </c>
    </row>
    <row r="147" spans="4:26" x14ac:dyDescent="0.25">
      <c r="D147" s="179" t="s">
        <v>255</v>
      </c>
      <c r="E147" s="441">
        <v>1.5529999999999999</v>
      </c>
      <c r="F147" s="441">
        <v>1.403</v>
      </c>
      <c r="G147" s="441">
        <v>1.3280000000000001</v>
      </c>
      <c r="H147" s="441">
        <v>1.3089999999999999</v>
      </c>
      <c r="I147" s="441">
        <v>1.3089999999999999</v>
      </c>
      <c r="J147" s="441">
        <v>1.353</v>
      </c>
      <c r="K147" s="16">
        <f t="shared" ref="K147:K149" si="32">(E147-J147)/5</f>
        <v>3.9999999999999994E-2</v>
      </c>
      <c r="L147" s="12"/>
      <c r="M147" t="s">
        <v>1361</v>
      </c>
    </row>
    <row r="148" spans="4:26" x14ac:dyDescent="0.25">
      <c r="D148" s="179" t="s">
        <v>274</v>
      </c>
      <c r="E148" s="441">
        <v>1.4470000000000001</v>
      </c>
      <c r="F148" s="441">
        <v>1.3620000000000001</v>
      </c>
      <c r="G148" s="441">
        <v>1.323</v>
      </c>
      <c r="H148" s="441">
        <v>1.2729999999999999</v>
      </c>
      <c r="I148" s="441">
        <v>1.3420000000000001</v>
      </c>
      <c r="J148" s="441">
        <v>1.3839999999999999</v>
      </c>
      <c r="K148" s="16">
        <f t="shared" si="32"/>
        <v>1.2600000000000033E-2</v>
      </c>
      <c r="L148" s="12"/>
      <c r="M148" t="s">
        <v>1361</v>
      </c>
      <c r="T148" t="s">
        <v>1117</v>
      </c>
      <c r="U148" s="3">
        <f>U145/(U$145+U$146)</f>
        <v>0.43063592606338819</v>
      </c>
      <c r="V148" s="3">
        <f t="shared" ref="V148:Z148" si="33">V145/(V$145+V$146)</f>
        <v>0.4064320218949084</v>
      </c>
      <c r="W148" s="3">
        <f t="shared" si="33"/>
        <v>0.38832467048530772</v>
      </c>
      <c r="X148" s="3">
        <f t="shared" si="33"/>
        <v>0.38072218875561581</v>
      </c>
      <c r="Y148" s="3">
        <f t="shared" si="33"/>
        <v>0.38086183544949892</v>
      </c>
      <c r="Z148" s="3">
        <f t="shared" si="33"/>
        <v>0.37130801687763709</v>
      </c>
    </row>
    <row r="149" spans="4:26" x14ac:dyDescent="0.25">
      <c r="D149" s="179" t="s">
        <v>259</v>
      </c>
      <c r="E149" s="441">
        <v>1172</v>
      </c>
      <c r="F149" s="441">
        <v>1143</v>
      </c>
      <c r="G149" s="441">
        <v>1033</v>
      </c>
      <c r="H149" s="441">
        <v>1035</v>
      </c>
      <c r="I149" s="441">
        <v>1088</v>
      </c>
      <c r="J149" s="441">
        <v>1121</v>
      </c>
      <c r="K149" s="16">
        <f t="shared" si="32"/>
        <v>10.199999999999999</v>
      </c>
      <c r="L149" s="12"/>
      <c r="M149" t="s">
        <v>1361</v>
      </c>
      <c r="T149" t="s">
        <v>780</v>
      </c>
      <c r="U149" s="3">
        <f t="shared" ref="U149:Z149" si="34">U146/(U$145+U$146)</f>
        <v>0.56936407393661181</v>
      </c>
      <c r="V149" s="3">
        <f t="shared" si="34"/>
        <v>0.59356797810509165</v>
      </c>
      <c r="W149" s="3">
        <f t="shared" si="34"/>
        <v>0.61167532951469228</v>
      </c>
      <c r="X149" s="3">
        <f t="shared" si="34"/>
        <v>0.61927781124438419</v>
      </c>
      <c r="Y149" s="3">
        <f t="shared" si="34"/>
        <v>0.61913816455050097</v>
      </c>
      <c r="Z149" s="3">
        <f t="shared" si="34"/>
        <v>0.62869198312236285</v>
      </c>
    </row>
    <row r="150" spans="4:26" x14ac:dyDescent="0.25">
      <c r="D150" s="418" t="s">
        <v>354</v>
      </c>
      <c r="E150" s="243">
        <f t="shared" ref="E150:I150" si="35">SUMPRODUCT(E151:E155*($I$120:$I$124/$I$119))</f>
        <v>1.2041641086318329</v>
      </c>
      <c r="F150" s="243">
        <f t="shared" si="35"/>
        <v>1.0530587027135634</v>
      </c>
      <c r="G150" s="243">
        <f t="shared" si="35"/>
        <v>1.0415588199180688</v>
      </c>
      <c r="H150" s="243">
        <f t="shared" si="35"/>
        <v>0.99732579503722651</v>
      </c>
      <c r="I150" s="243">
        <f t="shared" si="35"/>
        <v>1.067173071985891</v>
      </c>
      <c r="J150" s="243">
        <f>SUMPRODUCT(J151:J155*($I$120:$I$124/$I$119))</f>
        <v>1.0960594059405944</v>
      </c>
      <c r="K150" s="12"/>
      <c r="L150" s="12"/>
    </row>
    <row r="151" spans="4:26" x14ac:dyDescent="0.25">
      <c r="D151" s="179" t="s">
        <v>279</v>
      </c>
      <c r="E151" s="441">
        <v>0.96299999999999997</v>
      </c>
      <c r="F151" s="441">
        <v>0.81499999999999995</v>
      </c>
      <c r="G151" s="441">
        <v>0.82699999999999996</v>
      </c>
      <c r="H151" s="441">
        <v>0.79100000000000004</v>
      </c>
      <c r="I151" s="441">
        <v>0.86699999999999999</v>
      </c>
      <c r="J151" s="441">
        <v>0.88700000000000001</v>
      </c>
      <c r="K151" s="16">
        <f t="shared" ref="K151:K155" si="36">(E151-J151)/5</f>
        <v>1.5199999999999991E-2</v>
      </c>
      <c r="L151" s="12"/>
      <c r="M151" t="s">
        <v>1361</v>
      </c>
      <c r="T151" t="s">
        <v>856</v>
      </c>
    </row>
    <row r="152" spans="4:26" x14ac:dyDescent="0.25">
      <c r="D152" s="179" t="s">
        <v>257</v>
      </c>
      <c r="E152" s="441">
        <v>0.96299999999999997</v>
      </c>
      <c r="F152" s="441">
        <v>0.81499999999999995</v>
      </c>
      <c r="G152" s="441">
        <v>0.82699999999999996</v>
      </c>
      <c r="H152" s="441">
        <v>0.79100000000000004</v>
      </c>
      <c r="I152" s="441">
        <v>0.86699999999999999</v>
      </c>
      <c r="J152" s="441">
        <v>0.88700000000000001</v>
      </c>
      <c r="K152" s="16">
        <f t="shared" si="36"/>
        <v>1.5199999999999991E-2</v>
      </c>
      <c r="L152" s="12"/>
      <c r="M152" t="s">
        <v>1361</v>
      </c>
      <c r="T152" t="s">
        <v>1117</v>
      </c>
    </row>
    <row r="153" spans="4:26" x14ac:dyDescent="0.25">
      <c r="D153" s="179" t="s">
        <v>258</v>
      </c>
      <c r="E153" s="441">
        <v>0.96299999999999997</v>
      </c>
      <c r="F153" s="441">
        <v>0.81499999999999995</v>
      </c>
      <c r="G153" s="441">
        <v>0.82699999999999996</v>
      </c>
      <c r="H153" s="441">
        <v>0.79100000000000004</v>
      </c>
      <c r="I153" s="441">
        <v>0.86699999999999999</v>
      </c>
      <c r="J153" s="441">
        <v>0.88700000000000001</v>
      </c>
      <c r="K153" s="16">
        <f t="shared" si="36"/>
        <v>1.5199999999999991E-2</v>
      </c>
      <c r="L153" s="12"/>
      <c r="M153" t="s">
        <v>1361</v>
      </c>
      <c r="T153" t="s">
        <v>780</v>
      </c>
    </row>
    <row r="154" spans="4:26" x14ac:dyDescent="0.25">
      <c r="D154" s="179" t="s">
        <v>261</v>
      </c>
      <c r="E154" s="290">
        <v>4.2667305524239012</v>
      </c>
      <c r="F154" s="290">
        <v>3.6109921082299885</v>
      </c>
      <c r="G154" s="290">
        <v>3.6641600901916571</v>
      </c>
      <c r="H154" s="290">
        <v>3.5046561443066522</v>
      </c>
      <c r="I154" s="290">
        <v>3.8413866967305528</v>
      </c>
      <c r="J154" s="441">
        <v>3.93</v>
      </c>
      <c r="K154" s="16">
        <f t="shared" si="36"/>
        <v>6.7346110484780203E-2</v>
      </c>
      <c r="L154" s="12"/>
      <c r="M154" t="s">
        <v>1361</v>
      </c>
    </row>
    <row r="155" spans="4:26" x14ac:dyDescent="0.25">
      <c r="D155" s="179" t="s">
        <v>254</v>
      </c>
      <c r="E155" s="441">
        <v>0.86699999999999999</v>
      </c>
      <c r="F155" s="441">
        <v>0.79500000000000004</v>
      </c>
      <c r="G155" s="441">
        <v>0.75800000000000001</v>
      </c>
      <c r="H155" s="441">
        <v>0.72699999999999998</v>
      </c>
      <c r="I155" s="441">
        <v>0.75</v>
      </c>
      <c r="J155" s="441">
        <v>0.77500000000000002</v>
      </c>
      <c r="K155" s="16">
        <f t="shared" si="36"/>
        <v>1.8399999999999993E-2</v>
      </c>
      <c r="L155" s="12"/>
      <c r="M155" t="s">
        <v>1361</v>
      </c>
    </row>
    <row r="156" spans="4:26" x14ac:dyDescent="0.25">
      <c r="D156" s="418" t="s">
        <v>355</v>
      </c>
      <c r="E156" s="243">
        <f t="shared" ref="E156:I156" si="37">SUMPRODUCT(E157:E159*($I$126:$I$128/$I$125))</f>
        <v>14.932000000000002</v>
      </c>
      <c r="F156" s="243">
        <f t="shared" si="37"/>
        <v>13.807000000000002</v>
      </c>
      <c r="G156" s="243">
        <f t="shared" si="37"/>
        <v>12.103</v>
      </c>
      <c r="H156" s="243">
        <f t="shared" si="37"/>
        <v>13.048000000000002</v>
      </c>
      <c r="I156" s="243">
        <f t="shared" si="37"/>
        <v>13.032</v>
      </c>
      <c r="J156" s="243">
        <f>SUMPRODUCT(J157:J159*($I$126:$I$128/$I$125))</f>
        <v>12.904999999999999</v>
      </c>
      <c r="K156" s="12"/>
      <c r="L156" s="12"/>
    </row>
    <row r="157" spans="4:26" x14ac:dyDescent="0.25">
      <c r="D157" s="179" t="s">
        <v>262</v>
      </c>
      <c r="E157" s="441">
        <v>14.932</v>
      </c>
      <c r="F157" s="441">
        <v>13.807</v>
      </c>
      <c r="G157" s="441">
        <v>12.103</v>
      </c>
      <c r="H157" s="441">
        <v>13.048</v>
      </c>
      <c r="I157" s="441">
        <v>13.032</v>
      </c>
      <c r="J157" s="441">
        <v>12.904999999999999</v>
      </c>
      <c r="K157" s="16">
        <f t="shared" ref="K157:K164" si="38">(E157-J157)/5</f>
        <v>0.4054000000000002</v>
      </c>
      <c r="L157" s="12"/>
      <c r="M157" t="s">
        <v>1361</v>
      </c>
    </row>
    <row r="158" spans="4:26" x14ac:dyDescent="0.25">
      <c r="D158" s="179" t="s">
        <v>275</v>
      </c>
      <c r="E158" s="441">
        <v>14.932</v>
      </c>
      <c r="F158" s="441">
        <v>13.807</v>
      </c>
      <c r="G158" s="441">
        <v>12.103</v>
      </c>
      <c r="H158" s="441">
        <v>13.048</v>
      </c>
      <c r="I158" s="441">
        <v>13.032</v>
      </c>
      <c r="J158" s="441">
        <v>12.904999999999999</v>
      </c>
      <c r="K158" s="16">
        <f t="shared" si="38"/>
        <v>0.4054000000000002</v>
      </c>
      <c r="L158" s="12"/>
      <c r="M158" t="s">
        <v>1361</v>
      </c>
    </row>
    <row r="159" spans="4:26" x14ac:dyDescent="0.25">
      <c r="D159" s="179" t="s">
        <v>280</v>
      </c>
      <c r="E159" s="441">
        <v>14.932</v>
      </c>
      <c r="F159" s="441">
        <v>13.807</v>
      </c>
      <c r="G159" s="441">
        <v>12.103</v>
      </c>
      <c r="H159" s="441">
        <v>13.048</v>
      </c>
      <c r="I159" s="441">
        <v>13.032</v>
      </c>
      <c r="J159" s="441">
        <v>12.904999999999999</v>
      </c>
      <c r="K159" s="16">
        <f t="shared" si="38"/>
        <v>0.4054000000000002</v>
      </c>
      <c r="L159" s="12"/>
      <c r="M159" t="s">
        <v>1361</v>
      </c>
    </row>
    <row r="160" spans="4:26" x14ac:dyDescent="0.25">
      <c r="D160" s="418" t="s">
        <v>256</v>
      </c>
      <c r="E160" s="441">
        <v>6.5590000000000002</v>
      </c>
      <c r="F160" s="441">
        <v>6.6189999999999998</v>
      </c>
      <c r="G160" s="441">
        <v>6.343</v>
      </c>
      <c r="H160" s="441">
        <v>5.96</v>
      </c>
      <c r="I160" s="441">
        <v>6.42</v>
      </c>
      <c r="J160" s="441">
        <v>6.8010000000000002</v>
      </c>
      <c r="K160" s="16">
        <f t="shared" si="38"/>
        <v>-4.8399999999999999E-2</v>
      </c>
      <c r="L160" s="12"/>
      <c r="M160" t="s">
        <v>1361</v>
      </c>
    </row>
    <row r="161" spans="4:13" x14ac:dyDescent="0.25">
      <c r="D161" s="418" t="s">
        <v>235</v>
      </c>
      <c r="E161" s="441">
        <v>76.53</v>
      </c>
      <c r="F161" s="441">
        <v>72.72</v>
      </c>
      <c r="G161" s="441">
        <v>70.099999999999994</v>
      </c>
      <c r="H161" s="441">
        <v>72.430000000000007</v>
      </c>
      <c r="I161" s="441">
        <v>69.06</v>
      </c>
      <c r="J161" s="441">
        <v>64.257000000000005</v>
      </c>
      <c r="K161" s="16">
        <f t="shared" si="38"/>
        <v>2.4545999999999992</v>
      </c>
      <c r="L161" s="12"/>
      <c r="M161" t="s">
        <v>1361</v>
      </c>
    </row>
    <row r="162" spans="4:13" x14ac:dyDescent="0.25">
      <c r="D162" s="418" t="s">
        <v>273</v>
      </c>
      <c r="E162" s="441">
        <v>69.92</v>
      </c>
      <c r="F162" s="441">
        <v>65.31</v>
      </c>
      <c r="G162" s="441">
        <v>57.28</v>
      </c>
      <c r="H162" s="441">
        <v>62.58</v>
      </c>
      <c r="I162" s="441">
        <v>61.41</v>
      </c>
      <c r="J162" s="441">
        <v>56.247</v>
      </c>
      <c r="K162" s="16">
        <f t="shared" si="38"/>
        <v>2.7346000000000004</v>
      </c>
      <c r="L162" s="12"/>
      <c r="M162" t="s">
        <v>1361</v>
      </c>
    </row>
    <row r="163" spans="4:13" x14ac:dyDescent="0.25">
      <c r="D163" s="418" t="s">
        <v>356</v>
      </c>
      <c r="E163" s="441">
        <v>5.1100000000000003</v>
      </c>
      <c r="F163" s="441">
        <v>4.4359999999999999</v>
      </c>
      <c r="G163" s="441">
        <v>4.2210000000000001</v>
      </c>
      <c r="H163" s="441">
        <v>4.3650000000000002</v>
      </c>
      <c r="I163" s="441">
        <v>3.95</v>
      </c>
      <c r="J163" s="441">
        <v>3.2189999999999999</v>
      </c>
      <c r="K163" s="16">
        <f t="shared" si="38"/>
        <v>0.37820000000000009</v>
      </c>
      <c r="L163" s="12"/>
      <c r="M163" t="s">
        <v>1361</v>
      </c>
    </row>
    <row r="164" spans="4:13" x14ac:dyDescent="0.25">
      <c r="D164" s="179" t="s">
        <v>253</v>
      </c>
      <c r="E164" s="441">
        <v>5.1100000000000003</v>
      </c>
      <c r="F164" s="441">
        <v>4.4359999999999999</v>
      </c>
      <c r="G164" s="441">
        <v>4.2210000000000001</v>
      </c>
      <c r="H164" s="441">
        <v>4.3650000000000002</v>
      </c>
      <c r="I164" s="441">
        <v>3.95</v>
      </c>
      <c r="J164" s="441">
        <v>3.2189999999999999</v>
      </c>
      <c r="K164" s="16">
        <f t="shared" si="38"/>
        <v>0.37820000000000009</v>
      </c>
      <c r="L164" s="12"/>
      <c r="M164" t="s">
        <v>1361</v>
      </c>
    </row>
    <row r="165" spans="4:13" x14ac:dyDescent="0.25">
      <c r="E165" s="441"/>
      <c r="F165" s="441"/>
      <c r="G165" s="441"/>
      <c r="H165" s="441"/>
      <c r="I165" s="441"/>
      <c r="J165" s="441"/>
    </row>
    <row r="166" spans="4:13" x14ac:dyDescent="0.25">
      <c r="E166" s="441"/>
      <c r="F166" s="441"/>
      <c r="G166" s="441"/>
      <c r="H166" s="441"/>
      <c r="I166" s="441"/>
      <c r="J166" s="441"/>
    </row>
    <row r="167" spans="4:13" x14ac:dyDescent="0.25">
      <c r="E167" s="441"/>
      <c r="F167" s="441"/>
      <c r="G167" s="441"/>
      <c r="H167" s="441"/>
      <c r="I167" s="441"/>
      <c r="J167" s="441"/>
    </row>
    <row r="168" spans="4:13" x14ac:dyDescent="0.25">
      <c r="D168" t="s">
        <v>1363</v>
      </c>
      <c r="E168" s="441"/>
      <c r="F168" s="441"/>
      <c r="G168" s="441"/>
      <c r="H168" s="441"/>
      <c r="I168" s="441"/>
      <c r="J168" s="441"/>
    </row>
    <row r="169" spans="4:13" x14ac:dyDescent="0.25">
      <c r="E169" s="441">
        <v>2022</v>
      </c>
      <c r="F169" s="441">
        <v>2021</v>
      </c>
      <c r="G169" s="441">
        <v>2020</v>
      </c>
      <c r="H169" s="441">
        <v>2019</v>
      </c>
      <c r="I169" s="441">
        <v>2018</v>
      </c>
      <c r="J169" s="441">
        <v>2017</v>
      </c>
      <c r="L169" t="s">
        <v>1366</v>
      </c>
    </row>
    <row r="170" spans="4:13" x14ac:dyDescent="0.25">
      <c r="D170" s="1" t="s">
        <v>1117</v>
      </c>
      <c r="E170" s="441">
        <v>1</v>
      </c>
      <c r="F170" s="441">
        <v>1</v>
      </c>
      <c r="G170" s="441">
        <v>1</v>
      </c>
      <c r="H170" s="441">
        <v>1</v>
      </c>
      <c r="I170" s="441">
        <v>1</v>
      </c>
      <c r="J170" s="441">
        <v>1</v>
      </c>
    </row>
    <row r="171" spans="4:13" x14ac:dyDescent="0.25">
      <c r="D171" s="1" t="s">
        <v>780</v>
      </c>
      <c r="E171" s="441"/>
      <c r="F171" s="441"/>
      <c r="G171" s="441"/>
      <c r="H171" s="441"/>
      <c r="I171" s="441"/>
      <c r="J171" s="441"/>
    </row>
    <row r="172" spans="4:13" x14ac:dyDescent="0.25">
      <c r="D172" s="418" t="s">
        <v>1306</v>
      </c>
      <c r="E172" s="441"/>
      <c r="F172" s="441"/>
      <c r="G172" s="441"/>
      <c r="H172" s="441"/>
      <c r="I172" s="441"/>
      <c r="J172" s="441"/>
    </row>
    <row r="173" spans="4:13" x14ac:dyDescent="0.25">
      <c r="D173" s="179" t="s">
        <v>272</v>
      </c>
      <c r="E173" s="441">
        <f t="shared" ref="E173:H174" si="39">F173</f>
        <v>1.34</v>
      </c>
      <c r="F173" s="441">
        <f t="shared" si="39"/>
        <v>1.34</v>
      </c>
      <c r="G173" s="441">
        <f t="shared" si="39"/>
        <v>1.34</v>
      </c>
      <c r="H173" s="441">
        <f t="shared" si="39"/>
        <v>1.34</v>
      </c>
      <c r="I173" s="441">
        <f>J173</f>
        <v>1.34</v>
      </c>
      <c r="J173" s="441">
        <v>1.34</v>
      </c>
      <c r="L173" s="299">
        <f>E144/E173</f>
        <v>1.0522388059701491</v>
      </c>
    </row>
    <row r="174" spans="4:13" x14ac:dyDescent="0.25">
      <c r="D174" s="179" t="s">
        <v>260</v>
      </c>
      <c r="E174" s="441">
        <f t="shared" si="39"/>
        <v>18.683</v>
      </c>
      <c r="F174" s="441">
        <f t="shared" si="39"/>
        <v>18.683</v>
      </c>
      <c r="G174" s="441">
        <f t="shared" si="39"/>
        <v>18.683</v>
      </c>
      <c r="H174" s="441">
        <f t="shared" si="39"/>
        <v>18.683</v>
      </c>
      <c r="I174" s="441">
        <f>J174</f>
        <v>18.683</v>
      </c>
      <c r="J174" s="441">
        <v>18.683</v>
      </c>
      <c r="L174" s="299">
        <f>E145/E174</f>
        <v>1.4258951988438688</v>
      </c>
    </row>
    <row r="175" spans="4:13" x14ac:dyDescent="0.25">
      <c r="D175" s="418" t="s">
        <v>353</v>
      </c>
      <c r="E175" s="441"/>
      <c r="F175" s="441"/>
      <c r="G175" s="441"/>
      <c r="H175" s="441"/>
      <c r="I175" s="441"/>
      <c r="J175" s="441"/>
      <c r="L175" s="299"/>
    </row>
    <row r="176" spans="4:13" x14ac:dyDescent="0.25">
      <c r="D176" s="179" t="s">
        <v>255</v>
      </c>
      <c r="E176" s="441">
        <f t="shared" ref="E176:I178" si="40">F176</f>
        <v>1.353</v>
      </c>
      <c r="F176" s="441">
        <f t="shared" si="40"/>
        <v>1.353</v>
      </c>
      <c r="G176" s="441">
        <f t="shared" si="40"/>
        <v>1.353</v>
      </c>
      <c r="H176" s="441">
        <f t="shared" si="40"/>
        <v>1.353</v>
      </c>
      <c r="I176" s="441">
        <f t="shared" si="40"/>
        <v>1.353</v>
      </c>
      <c r="J176" s="441">
        <v>1.353</v>
      </c>
      <c r="L176" s="299">
        <f t="shared" ref="L176:L178" si="41">E147/E176</f>
        <v>1.1478196600147819</v>
      </c>
    </row>
    <row r="177" spans="4:12" x14ac:dyDescent="0.25">
      <c r="D177" s="179" t="s">
        <v>274</v>
      </c>
      <c r="E177" s="441">
        <f t="shared" si="40"/>
        <v>1.3839999999999999</v>
      </c>
      <c r="F177" s="441">
        <f t="shared" si="40"/>
        <v>1.3839999999999999</v>
      </c>
      <c r="G177" s="441">
        <f t="shared" si="40"/>
        <v>1.3839999999999999</v>
      </c>
      <c r="H177" s="441">
        <f t="shared" si="40"/>
        <v>1.3839999999999999</v>
      </c>
      <c r="I177" s="441">
        <f t="shared" si="40"/>
        <v>1.3839999999999999</v>
      </c>
      <c r="J177" s="441">
        <v>1.3839999999999999</v>
      </c>
      <c r="L177" s="299">
        <f t="shared" si="41"/>
        <v>1.0455202312138729</v>
      </c>
    </row>
    <row r="178" spans="4:12" x14ac:dyDescent="0.25">
      <c r="D178" s="179" t="s">
        <v>259</v>
      </c>
      <c r="E178" s="441">
        <f t="shared" si="40"/>
        <v>1121</v>
      </c>
      <c r="F178" s="441">
        <f t="shared" si="40"/>
        <v>1121</v>
      </c>
      <c r="G178" s="441">
        <f t="shared" si="40"/>
        <v>1121</v>
      </c>
      <c r="H178" s="441">
        <f t="shared" si="40"/>
        <v>1121</v>
      </c>
      <c r="I178" s="441">
        <f t="shared" si="40"/>
        <v>1121</v>
      </c>
      <c r="J178" s="441">
        <v>1121</v>
      </c>
      <c r="L178" s="299">
        <f t="shared" si="41"/>
        <v>1.0454950936663694</v>
      </c>
    </row>
    <row r="179" spans="4:12" x14ac:dyDescent="0.25">
      <c r="D179" s="418" t="s">
        <v>354</v>
      </c>
      <c r="E179" s="441"/>
      <c r="F179" s="441"/>
      <c r="G179" s="441"/>
      <c r="H179" s="441"/>
      <c r="I179" s="441"/>
      <c r="J179" s="441"/>
      <c r="L179" s="299"/>
    </row>
    <row r="180" spans="4:12" x14ac:dyDescent="0.25">
      <c r="D180" s="179" t="s">
        <v>279</v>
      </c>
      <c r="E180" s="441">
        <f t="shared" ref="E180:I184" si="42">F180</f>
        <v>0.88700000000000001</v>
      </c>
      <c r="F180" s="441">
        <f t="shared" si="42"/>
        <v>0.88700000000000001</v>
      </c>
      <c r="G180" s="441">
        <f t="shared" si="42"/>
        <v>0.88700000000000001</v>
      </c>
      <c r="H180" s="441">
        <f t="shared" si="42"/>
        <v>0.88700000000000001</v>
      </c>
      <c r="I180" s="441">
        <f t="shared" si="42"/>
        <v>0.88700000000000001</v>
      </c>
      <c r="J180" s="441">
        <v>0.88700000000000001</v>
      </c>
      <c r="L180" s="299">
        <f t="shared" ref="L180:L184" si="43">E151/E180</f>
        <v>1.0856820744081173</v>
      </c>
    </row>
    <row r="181" spans="4:12" x14ac:dyDescent="0.25">
      <c r="D181" s="179" t="s">
        <v>257</v>
      </c>
      <c r="E181" s="441">
        <f t="shared" si="42"/>
        <v>0.88700000000000001</v>
      </c>
      <c r="F181" s="441">
        <f t="shared" si="42"/>
        <v>0.88700000000000001</v>
      </c>
      <c r="G181" s="441">
        <f t="shared" si="42"/>
        <v>0.88700000000000001</v>
      </c>
      <c r="H181" s="441">
        <f t="shared" si="42"/>
        <v>0.88700000000000001</v>
      </c>
      <c r="I181" s="441">
        <f t="shared" si="42"/>
        <v>0.88700000000000001</v>
      </c>
      <c r="J181" s="441">
        <v>0.88700000000000001</v>
      </c>
      <c r="L181" s="299">
        <f t="shared" si="43"/>
        <v>1.0856820744081173</v>
      </c>
    </row>
    <row r="182" spans="4:12" x14ac:dyDescent="0.25">
      <c r="D182" s="179" t="s">
        <v>258</v>
      </c>
      <c r="E182" s="441">
        <f t="shared" si="42"/>
        <v>0.88700000000000001</v>
      </c>
      <c r="F182" s="441">
        <f t="shared" si="42"/>
        <v>0.88700000000000001</v>
      </c>
      <c r="G182" s="441">
        <f t="shared" si="42"/>
        <v>0.88700000000000001</v>
      </c>
      <c r="H182" s="441">
        <f t="shared" si="42"/>
        <v>0.88700000000000001</v>
      </c>
      <c r="I182" s="441">
        <f t="shared" si="42"/>
        <v>0.88700000000000001</v>
      </c>
      <c r="J182" s="441">
        <v>0.88700000000000001</v>
      </c>
      <c r="L182" s="299">
        <f t="shared" si="43"/>
        <v>1.0856820744081173</v>
      </c>
    </row>
    <row r="183" spans="4:12" x14ac:dyDescent="0.25">
      <c r="D183" s="179" t="s">
        <v>261</v>
      </c>
      <c r="E183" s="441">
        <f t="shared" si="42"/>
        <v>3.93</v>
      </c>
      <c r="F183" s="441">
        <f t="shared" si="42"/>
        <v>3.93</v>
      </c>
      <c r="G183" s="441">
        <f t="shared" si="42"/>
        <v>3.93</v>
      </c>
      <c r="H183" s="441">
        <f t="shared" si="42"/>
        <v>3.93</v>
      </c>
      <c r="I183" s="441">
        <f t="shared" si="42"/>
        <v>3.93</v>
      </c>
      <c r="J183" s="441">
        <v>3.93</v>
      </c>
      <c r="L183" s="299">
        <f t="shared" si="43"/>
        <v>1.0856820744081173</v>
      </c>
    </row>
    <row r="184" spans="4:12" x14ac:dyDescent="0.25">
      <c r="D184" s="179" t="s">
        <v>254</v>
      </c>
      <c r="E184" s="441">
        <f t="shared" si="42"/>
        <v>0.77500000000000002</v>
      </c>
      <c r="F184" s="441">
        <f t="shared" si="42"/>
        <v>0.77500000000000002</v>
      </c>
      <c r="G184" s="441">
        <f t="shared" si="42"/>
        <v>0.77500000000000002</v>
      </c>
      <c r="H184" s="441">
        <f t="shared" si="42"/>
        <v>0.77500000000000002</v>
      </c>
      <c r="I184" s="441">
        <f t="shared" si="42"/>
        <v>0.77500000000000002</v>
      </c>
      <c r="J184" s="441">
        <v>0.77500000000000002</v>
      </c>
      <c r="L184" s="299">
        <f t="shared" si="43"/>
        <v>1.1187096774193548</v>
      </c>
    </row>
    <row r="185" spans="4:12" x14ac:dyDescent="0.25">
      <c r="D185" s="418" t="s">
        <v>355</v>
      </c>
      <c r="E185" s="441"/>
      <c r="F185" s="441"/>
      <c r="G185" s="441"/>
      <c r="H185" s="441"/>
      <c r="I185" s="441"/>
      <c r="J185" s="441"/>
      <c r="L185" s="299"/>
    </row>
    <row r="186" spans="4:12" x14ac:dyDescent="0.25">
      <c r="D186" s="179" t="s">
        <v>262</v>
      </c>
      <c r="E186" s="441">
        <f t="shared" ref="E186:I193" si="44">F186</f>
        <v>12.904999999999999</v>
      </c>
      <c r="F186" s="441">
        <f t="shared" si="44"/>
        <v>12.904999999999999</v>
      </c>
      <c r="G186" s="441">
        <f t="shared" si="44"/>
        <v>12.904999999999999</v>
      </c>
      <c r="H186" s="441">
        <f t="shared" si="44"/>
        <v>12.904999999999999</v>
      </c>
      <c r="I186" s="441">
        <f t="shared" si="44"/>
        <v>12.904999999999999</v>
      </c>
      <c r="J186" s="441">
        <v>12.904999999999999</v>
      </c>
      <c r="L186" s="299">
        <f t="shared" ref="L186:L193" si="45">E157/E186</f>
        <v>1.1570709027508719</v>
      </c>
    </row>
    <row r="187" spans="4:12" x14ac:dyDescent="0.25">
      <c r="D187" s="179" t="s">
        <v>275</v>
      </c>
      <c r="E187" s="441">
        <f t="shared" si="44"/>
        <v>12.904999999999999</v>
      </c>
      <c r="F187" s="441">
        <f t="shared" si="44"/>
        <v>12.904999999999999</v>
      </c>
      <c r="G187" s="441">
        <f t="shared" si="44"/>
        <v>12.904999999999999</v>
      </c>
      <c r="H187" s="441">
        <f t="shared" si="44"/>
        <v>12.904999999999999</v>
      </c>
      <c r="I187" s="441">
        <f t="shared" si="44"/>
        <v>12.904999999999999</v>
      </c>
      <c r="J187" s="441">
        <v>12.904999999999999</v>
      </c>
      <c r="L187" s="299">
        <f t="shared" si="45"/>
        <v>1.1570709027508719</v>
      </c>
    </row>
    <row r="188" spans="4:12" x14ac:dyDescent="0.25">
      <c r="D188" s="179" t="s">
        <v>280</v>
      </c>
      <c r="E188" s="441">
        <f t="shared" si="44"/>
        <v>12.904999999999999</v>
      </c>
      <c r="F188" s="441">
        <f t="shared" si="44"/>
        <v>12.904999999999999</v>
      </c>
      <c r="G188" s="441">
        <f t="shared" si="44"/>
        <v>12.904999999999999</v>
      </c>
      <c r="H188" s="441">
        <f t="shared" si="44"/>
        <v>12.904999999999999</v>
      </c>
      <c r="I188" s="441">
        <f t="shared" si="44"/>
        <v>12.904999999999999</v>
      </c>
      <c r="J188" s="441">
        <v>12.904999999999999</v>
      </c>
      <c r="L188" s="299">
        <f t="shared" si="45"/>
        <v>1.1570709027508719</v>
      </c>
    </row>
    <row r="189" spans="4:12" x14ac:dyDescent="0.25">
      <c r="D189" s="418" t="s">
        <v>256</v>
      </c>
      <c r="E189" s="441">
        <f t="shared" si="44"/>
        <v>6.8010000000000002</v>
      </c>
      <c r="F189" s="441">
        <f t="shared" si="44"/>
        <v>6.8010000000000002</v>
      </c>
      <c r="G189" s="441">
        <f t="shared" si="44"/>
        <v>6.8010000000000002</v>
      </c>
      <c r="H189" s="441">
        <f t="shared" si="44"/>
        <v>6.8010000000000002</v>
      </c>
      <c r="I189" s="441">
        <f t="shared" si="44"/>
        <v>6.8010000000000002</v>
      </c>
      <c r="J189" s="441">
        <v>6.8010000000000002</v>
      </c>
      <c r="L189" s="299">
        <f t="shared" si="45"/>
        <v>0.96441699750036758</v>
      </c>
    </row>
    <row r="190" spans="4:12" x14ac:dyDescent="0.25">
      <c r="D190" s="418" t="s">
        <v>235</v>
      </c>
      <c r="E190" s="441">
        <f t="shared" si="44"/>
        <v>64.257000000000005</v>
      </c>
      <c r="F190" s="441">
        <f t="shared" si="44"/>
        <v>64.257000000000005</v>
      </c>
      <c r="G190" s="441">
        <f t="shared" si="44"/>
        <v>64.257000000000005</v>
      </c>
      <c r="H190" s="441">
        <f t="shared" si="44"/>
        <v>64.257000000000005</v>
      </c>
      <c r="I190" s="441">
        <f t="shared" si="44"/>
        <v>64.257000000000005</v>
      </c>
      <c r="J190" s="441">
        <v>64.257000000000005</v>
      </c>
      <c r="L190" s="299">
        <f t="shared" si="45"/>
        <v>1.1909986460619075</v>
      </c>
    </row>
    <row r="191" spans="4:12" x14ac:dyDescent="0.25">
      <c r="D191" s="418" t="s">
        <v>273</v>
      </c>
      <c r="E191" s="441">
        <f t="shared" si="44"/>
        <v>56.247</v>
      </c>
      <c r="F191" s="441">
        <f t="shared" si="44"/>
        <v>56.247</v>
      </c>
      <c r="G191" s="441">
        <f t="shared" si="44"/>
        <v>56.247</v>
      </c>
      <c r="H191" s="441">
        <f t="shared" si="44"/>
        <v>56.247</v>
      </c>
      <c r="I191" s="441">
        <f t="shared" si="44"/>
        <v>56.247</v>
      </c>
      <c r="J191" s="441">
        <v>56.247</v>
      </c>
      <c r="L191" s="299">
        <f t="shared" si="45"/>
        <v>1.2430885202766371</v>
      </c>
    </row>
    <row r="192" spans="4:12" x14ac:dyDescent="0.25">
      <c r="D192" s="418" t="s">
        <v>356</v>
      </c>
      <c r="E192" s="441">
        <f t="shared" si="44"/>
        <v>3.2189999999999999</v>
      </c>
      <c r="F192" s="441">
        <f t="shared" si="44"/>
        <v>3.2189999999999999</v>
      </c>
      <c r="G192" s="441">
        <f t="shared" si="44"/>
        <v>3.2189999999999999</v>
      </c>
      <c r="H192" s="441">
        <f t="shared" si="44"/>
        <v>3.2189999999999999</v>
      </c>
      <c r="I192" s="441">
        <f t="shared" si="44"/>
        <v>3.2189999999999999</v>
      </c>
      <c r="J192" s="441">
        <v>3.2189999999999999</v>
      </c>
      <c r="L192" s="299">
        <f t="shared" si="45"/>
        <v>1.5874495184840014</v>
      </c>
    </row>
    <row r="193" spans="4:12" x14ac:dyDescent="0.25">
      <c r="D193" s="179" t="s">
        <v>253</v>
      </c>
      <c r="E193" s="441">
        <f t="shared" si="44"/>
        <v>3.2189999999999999</v>
      </c>
      <c r="F193" s="441">
        <f t="shared" si="44"/>
        <v>3.2189999999999999</v>
      </c>
      <c r="G193" s="441">
        <f t="shared" si="44"/>
        <v>3.2189999999999999</v>
      </c>
      <c r="H193" s="441">
        <f t="shared" si="44"/>
        <v>3.2189999999999999</v>
      </c>
      <c r="I193" s="441">
        <f t="shared" si="44"/>
        <v>3.2189999999999999</v>
      </c>
      <c r="J193" s="441">
        <v>3.2189999999999999</v>
      </c>
      <c r="L193" s="299">
        <f t="shared" si="45"/>
        <v>1.5874495184840014</v>
      </c>
    </row>
    <row r="194" spans="4:12" x14ac:dyDescent="0.25">
      <c r="D194" s="179"/>
      <c r="E194" s="441"/>
      <c r="F194" s="441"/>
      <c r="G194" s="441"/>
      <c r="H194" s="441"/>
      <c r="I194" s="441"/>
      <c r="J194" s="441"/>
    </row>
    <row r="195" spans="4:12" ht="15.75" thickBot="1" x14ac:dyDescent="0.3">
      <c r="E195" s="441"/>
      <c r="F195" s="441"/>
      <c r="G195" s="441"/>
      <c r="H195" s="441"/>
      <c r="I195" s="441"/>
      <c r="J195" s="441"/>
      <c r="K195" t="s">
        <v>1229</v>
      </c>
    </row>
    <row r="196" spans="4:12" ht="15.75" thickBot="1" x14ac:dyDescent="0.3">
      <c r="D196" t="s">
        <v>1362</v>
      </c>
      <c r="E196" s="441"/>
      <c r="F196" s="441"/>
      <c r="G196" s="441"/>
      <c r="H196" s="441"/>
      <c r="I196" s="441"/>
      <c r="J196" s="441"/>
      <c r="K196" s="443">
        <f>AVERAGE(L173:L193)</f>
        <v>1.1790568263233552</v>
      </c>
    </row>
    <row r="197" spans="4:12" x14ac:dyDescent="0.25">
      <c r="E197" s="441">
        <v>2022</v>
      </c>
      <c r="F197" s="441">
        <v>2021</v>
      </c>
      <c r="G197" s="441">
        <v>2020</v>
      </c>
      <c r="H197" s="441">
        <v>2019</v>
      </c>
      <c r="I197" s="441">
        <v>2018</v>
      </c>
      <c r="J197" s="441">
        <v>2017</v>
      </c>
      <c r="K197" s="441"/>
    </row>
    <row r="198" spans="4:12" x14ac:dyDescent="0.25">
      <c r="D198" s="1" t="s">
        <v>1117</v>
      </c>
      <c r="E198" s="441">
        <v>1</v>
      </c>
      <c r="F198" s="441">
        <v>1</v>
      </c>
      <c r="G198" s="441">
        <v>1</v>
      </c>
      <c r="H198" s="441">
        <v>1</v>
      </c>
      <c r="I198" s="441">
        <v>1</v>
      </c>
      <c r="J198" s="441">
        <v>1</v>
      </c>
      <c r="K198" s="441"/>
    </row>
    <row r="199" spans="4:12" x14ac:dyDescent="0.25">
      <c r="D199" s="1" t="s">
        <v>780</v>
      </c>
      <c r="E199" s="441"/>
      <c r="F199" s="441"/>
      <c r="G199" s="441"/>
      <c r="H199" s="441"/>
      <c r="I199" s="441"/>
      <c r="J199" s="441"/>
      <c r="K199" s="441"/>
    </row>
    <row r="200" spans="4:12" x14ac:dyDescent="0.25">
      <c r="D200" s="418" t="s">
        <v>1306</v>
      </c>
      <c r="E200" s="441"/>
      <c r="F200" s="441"/>
      <c r="G200" s="441"/>
      <c r="H200" s="441"/>
      <c r="I200" s="441"/>
      <c r="J200" s="441"/>
      <c r="K200" s="441"/>
    </row>
    <row r="201" spans="4:12" x14ac:dyDescent="0.25">
      <c r="D201" s="179" t="s">
        <v>272</v>
      </c>
      <c r="E201" s="290">
        <f t="shared" ref="E201:H202" si="46">F201+$K201*$K$196</f>
        <v>1.4373122499789792</v>
      </c>
      <c r="F201" s="290">
        <f t="shared" si="46"/>
        <v>1.4178497999831834</v>
      </c>
      <c r="G201" s="290">
        <f t="shared" si="46"/>
        <v>1.3983873499873876</v>
      </c>
      <c r="H201" s="290">
        <f t="shared" si="46"/>
        <v>1.3789248999915917</v>
      </c>
      <c r="I201" s="290">
        <f>J201+$K201*$K$196</f>
        <v>1.3594624499957959</v>
      </c>
      <c r="J201" s="290">
        <v>1.34</v>
      </c>
      <c r="K201" s="290">
        <f>$K$196*K144</f>
        <v>1.6506795568526935E-2</v>
      </c>
    </row>
    <row r="202" spans="4:12" x14ac:dyDescent="0.25">
      <c r="D202" s="179" t="s">
        <v>260</v>
      </c>
      <c r="E202" s="290">
        <f t="shared" si="46"/>
        <v>29.744622472610537</v>
      </c>
      <c r="F202" s="290">
        <f t="shared" si="46"/>
        <v>27.53229797808843</v>
      </c>
      <c r="G202" s="290">
        <f t="shared" si="46"/>
        <v>25.319973483566322</v>
      </c>
      <c r="H202" s="290">
        <f t="shared" si="46"/>
        <v>23.107648989044215</v>
      </c>
      <c r="I202" s="290">
        <f>J202+$K202*$K$196</f>
        <v>20.895324494522107</v>
      </c>
      <c r="J202" s="290">
        <v>18.683</v>
      </c>
      <c r="K202" s="290">
        <f>$K$196*K145</f>
        <v>1.8763510334109876</v>
      </c>
    </row>
    <row r="203" spans="4:12" x14ac:dyDescent="0.25">
      <c r="D203" s="418" t="s">
        <v>353</v>
      </c>
      <c r="E203" s="290"/>
      <c r="F203" s="290"/>
      <c r="G203" s="290"/>
      <c r="H203" s="290"/>
      <c r="I203" s="290"/>
      <c r="J203" s="290"/>
      <c r="K203" s="290"/>
    </row>
    <row r="204" spans="4:12" x14ac:dyDescent="0.25">
      <c r="D204" s="179" t="s">
        <v>255</v>
      </c>
      <c r="E204" s="290">
        <f t="shared" ref="E204:I204" si="47">F204+$K204*$K$196</f>
        <v>1.6310349999399401</v>
      </c>
      <c r="F204" s="290">
        <f t="shared" si="47"/>
        <v>1.575427999951952</v>
      </c>
      <c r="G204" s="290">
        <f t="shared" si="47"/>
        <v>1.519820999963964</v>
      </c>
      <c r="H204" s="290">
        <f t="shared" si="47"/>
        <v>1.464213999975976</v>
      </c>
      <c r="I204" s="290">
        <f t="shared" si="47"/>
        <v>1.408606999987988</v>
      </c>
      <c r="J204" s="290">
        <v>1.353</v>
      </c>
      <c r="K204" s="290">
        <f t="shared" ref="K204:K206" si="48">$K$196*K147</f>
        <v>4.7162273052934203E-2</v>
      </c>
    </row>
    <row r="205" spans="4:12" x14ac:dyDescent="0.25">
      <c r="D205" s="179" t="s">
        <v>274</v>
      </c>
      <c r="E205" s="290">
        <f t="shared" ref="E205:I205" si="49">F205+$K205*$K$196</f>
        <v>1.4715810249810815</v>
      </c>
      <c r="F205" s="290">
        <f t="shared" si="49"/>
        <v>1.4540648199848651</v>
      </c>
      <c r="G205" s="290">
        <f t="shared" si="49"/>
        <v>1.4365486149886488</v>
      </c>
      <c r="H205" s="290">
        <f t="shared" si="49"/>
        <v>1.4190324099924325</v>
      </c>
      <c r="I205" s="290">
        <f t="shared" si="49"/>
        <v>1.4015162049962162</v>
      </c>
      <c r="J205" s="290">
        <v>1.3839999999999999</v>
      </c>
      <c r="K205" s="290">
        <f t="shared" si="48"/>
        <v>1.4856116011674313E-2</v>
      </c>
    </row>
    <row r="206" spans="4:12" x14ac:dyDescent="0.25">
      <c r="D206" s="179" t="s">
        <v>259</v>
      </c>
      <c r="E206" s="290">
        <f t="shared" ref="E206:I206" si="50">F206+$K206*$K$196</f>
        <v>1191.8989249846843</v>
      </c>
      <c r="F206" s="290">
        <f t="shared" si="50"/>
        <v>1177.7191399877474</v>
      </c>
      <c r="G206" s="290">
        <f t="shared" si="50"/>
        <v>1163.5393549908106</v>
      </c>
      <c r="H206" s="290">
        <f t="shared" si="50"/>
        <v>1149.3595699938737</v>
      </c>
      <c r="I206" s="290">
        <f t="shared" si="50"/>
        <v>1135.1797849969369</v>
      </c>
      <c r="J206" s="290">
        <v>1121</v>
      </c>
      <c r="K206" s="290">
        <f t="shared" si="48"/>
        <v>12.026379628498223</v>
      </c>
    </row>
    <row r="207" spans="4:12" x14ac:dyDescent="0.25">
      <c r="D207" s="418" t="s">
        <v>354</v>
      </c>
      <c r="E207" s="290"/>
      <c r="F207" s="290"/>
      <c r="G207" s="290"/>
      <c r="H207" s="290"/>
      <c r="I207" s="290"/>
      <c r="J207" s="290"/>
      <c r="K207" s="290"/>
    </row>
    <row r="208" spans="4:12" x14ac:dyDescent="0.25">
      <c r="D208" s="179" t="s">
        <v>279</v>
      </c>
      <c r="E208" s="290">
        <f t="shared" ref="E208:I208" si="51">F208+$K208*$K$196</f>
        <v>0.99265329997717755</v>
      </c>
      <c r="F208" s="290">
        <f t="shared" si="51"/>
        <v>0.97152263998174204</v>
      </c>
      <c r="G208" s="290">
        <f t="shared" si="51"/>
        <v>0.95039197998630653</v>
      </c>
      <c r="H208" s="290">
        <f t="shared" si="51"/>
        <v>0.92926131999087103</v>
      </c>
      <c r="I208" s="290">
        <f t="shared" si="51"/>
        <v>0.90813065999543552</v>
      </c>
      <c r="J208" s="290">
        <v>0.88700000000000001</v>
      </c>
      <c r="K208" s="290">
        <f t="shared" ref="K208:K212" si="52">$K$196*K151</f>
        <v>1.7921663760114989E-2</v>
      </c>
    </row>
    <row r="209" spans="4:11" x14ac:dyDescent="0.25">
      <c r="D209" s="179" t="s">
        <v>257</v>
      </c>
      <c r="E209" s="290">
        <f t="shared" ref="E209:I209" si="53">F209+$K209*$K$196</f>
        <v>0.99265329997717755</v>
      </c>
      <c r="F209" s="290">
        <f t="shared" si="53"/>
        <v>0.97152263998174204</v>
      </c>
      <c r="G209" s="290">
        <f t="shared" si="53"/>
        <v>0.95039197998630653</v>
      </c>
      <c r="H209" s="290">
        <f t="shared" si="53"/>
        <v>0.92926131999087103</v>
      </c>
      <c r="I209" s="290">
        <f t="shared" si="53"/>
        <v>0.90813065999543552</v>
      </c>
      <c r="J209" s="290">
        <v>0.88700000000000001</v>
      </c>
      <c r="K209" s="290">
        <f t="shared" si="52"/>
        <v>1.7921663760114989E-2</v>
      </c>
    </row>
    <row r="210" spans="4:11" x14ac:dyDescent="0.25">
      <c r="D210" s="179" t="s">
        <v>258</v>
      </c>
      <c r="E210" s="290">
        <f t="shared" ref="E210:I210" si="54">F210+$K210*$K$196</f>
        <v>0.99265329997717755</v>
      </c>
      <c r="F210" s="290">
        <f t="shared" si="54"/>
        <v>0.97152263998174204</v>
      </c>
      <c r="G210" s="290">
        <f t="shared" si="54"/>
        <v>0.95039197998630653</v>
      </c>
      <c r="H210" s="290">
        <f t="shared" si="54"/>
        <v>0.92926131999087103</v>
      </c>
      <c r="I210" s="290">
        <f t="shared" si="54"/>
        <v>0.90813065999543552</v>
      </c>
      <c r="J210" s="290">
        <v>0.88700000000000001</v>
      </c>
      <c r="K210" s="290">
        <f t="shared" si="52"/>
        <v>1.7921663760114989E-2</v>
      </c>
    </row>
    <row r="211" spans="4:11" x14ac:dyDescent="0.25">
      <c r="D211" s="179" t="s">
        <v>261</v>
      </c>
      <c r="E211" s="290">
        <f t="shared" ref="E211:I211" si="55">F211+$K211*$K$196</f>
        <v>4.3981143956147779</v>
      </c>
      <c r="F211" s="290">
        <f t="shared" si="55"/>
        <v>4.3044915164918223</v>
      </c>
      <c r="G211" s="290">
        <f t="shared" si="55"/>
        <v>4.2108686373688666</v>
      </c>
      <c r="H211" s="290">
        <f t="shared" si="55"/>
        <v>4.117245758245911</v>
      </c>
      <c r="I211" s="290">
        <f t="shared" si="55"/>
        <v>4.0236228791229554</v>
      </c>
      <c r="J211" s="290">
        <v>3.93</v>
      </c>
      <c r="K211" s="290">
        <f t="shared" si="52"/>
        <v>7.9404891293406984E-2</v>
      </c>
    </row>
    <row r="212" spans="4:11" x14ac:dyDescent="0.25">
      <c r="D212" s="179" t="s">
        <v>254</v>
      </c>
      <c r="E212" s="290">
        <f t="shared" ref="E212:I212" si="56">F212+$K212*$K$196</f>
        <v>0.90289609997237275</v>
      </c>
      <c r="F212" s="290">
        <f t="shared" si="56"/>
        <v>0.8773168799778982</v>
      </c>
      <c r="G212" s="290">
        <f t="shared" si="56"/>
        <v>0.85173765998342366</v>
      </c>
      <c r="H212" s="290">
        <f t="shared" si="56"/>
        <v>0.82615843998894911</v>
      </c>
      <c r="I212" s="290">
        <f t="shared" si="56"/>
        <v>0.80057921999447457</v>
      </c>
      <c r="J212" s="290">
        <v>0.77500000000000002</v>
      </c>
      <c r="K212" s="290">
        <f t="shared" si="52"/>
        <v>2.1694645604349725E-2</v>
      </c>
    </row>
    <row r="213" spans="4:11" x14ac:dyDescent="0.25">
      <c r="D213" s="418" t="s">
        <v>355</v>
      </c>
      <c r="E213" s="290"/>
      <c r="F213" s="290"/>
      <c r="G213" s="290"/>
      <c r="H213" s="290"/>
      <c r="I213" s="290"/>
      <c r="J213" s="290"/>
      <c r="K213" s="290"/>
    </row>
    <row r="214" spans="4:11" x14ac:dyDescent="0.25">
      <c r="D214" s="179" t="s">
        <v>262</v>
      </c>
      <c r="E214" s="290">
        <f t="shared" ref="E214:I214" si="57">F214+$K214*$K$196</f>
        <v>15.722884724391301</v>
      </c>
      <c r="F214" s="290">
        <f t="shared" si="57"/>
        <v>15.159307779513041</v>
      </c>
      <c r="G214" s="290">
        <f t="shared" si="57"/>
        <v>14.59573083463478</v>
      </c>
      <c r="H214" s="290">
        <f t="shared" si="57"/>
        <v>14.03215388975652</v>
      </c>
      <c r="I214" s="290">
        <f t="shared" si="57"/>
        <v>13.46857694487826</v>
      </c>
      <c r="J214" s="290">
        <v>12.904999999999999</v>
      </c>
      <c r="K214" s="290">
        <f t="shared" ref="K214:K221" si="58">$K$196*K157</f>
        <v>0.47798963739148842</v>
      </c>
    </row>
    <row r="215" spans="4:11" x14ac:dyDescent="0.25">
      <c r="D215" s="179" t="s">
        <v>275</v>
      </c>
      <c r="E215" s="290">
        <f t="shared" ref="E215:I215" si="59">F215+$K215*$K$196</f>
        <v>15.722884724391301</v>
      </c>
      <c r="F215" s="290">
        <f t="shared" si="59"/>
        <v>15.159307779513041</v>
      </c>
      <c r="G215" s="290">
        <f t="shared" si="59"/>
        <v>14.59573083463478</v>
      </c>
      <c r="H215" s="290">
        <f t="shared" si="59"/>
        <v>14.03215388975652</v>
      </c>
      <c r="I215" s="290">
        <f t="shared" si="59"/>
        <v>13.46857694487826</v>
      </c>
      <c r="J215" s="290">
        <v>12.904999999999999</v>
      </c>
      <c r="K215" s="290">
        <f t="shared" si="58"/>
        <v>0.47798963739148842</v>
      </c>
    </row>
    <row r="216" spans="4:11" x14ac:dyDescent="0.25">
      <c r="D216" s="179" t="s">
        <v>280</v>
      </c>
      <c r="E216" s="290">
        <f t="shared" ref="E216:I216" si="60">F216+$K216*$K$196</f>
        <v>15.722884724391301</v>
      </c>
      <c r="F216" s="290">
        <f t="shared" si="60"/>
        <v>15.159307779513041</v>
      </c>
      <c r="G216" s="290">
        <f t="shared" si="60"/>
        <v>14.59573083463478</v>
      </c>
      <c r="H216" s="290">
        <f t="shared" si="60"/>
        <v>14.03215388975652</v>
      </c>
      <c r="I216" s="290">
        <f t="shared" si="60"/>
        <v>13.46857694487826</v>
      </c>
      <c r="J216" s="290">
        <v>12.904999999999999</v>
      </c>
      <c r="K216" s="290">
        <f t="shared" si="58"/>
        <v>0.47798963739148842</v>
      </c>
    </row>
    <row r="217" spans="4:11" x14ac:dyDescent="0.25">
      <c r="D217" s="418" t="s">
        <v>256</v>
      </c>
      <c r="E217" s="290">
        <f t="shared" ref="E217:I217" si="61">F217+$K217*$K$196</f>
        <v>6.4645776500726724</v>
      </c>
      <c r="F217" s="290">
        <f t="shared" si="61"/>
        <v>6.5318621200581379</v>
      </c>
      <c r="G217" s="290">
        <f t="shared" si="61"/>
        <v>6.5991465900436035</v>
      </c>
      <c r="H217" s="290">
        <f t="shared" si="61"/>
        <v>6.666431060029069</v>
      </c>
      <c r="I217" s="290">
        <f t="shared" si="61"/>
        <v>6.7337155300145346</v>
      </c>
      <c r="J217" s="290">
        <v>6.8010000000000002</v>
      </c>
      <c r="K217" s="290">
        <f t="shared" si="58"/>
        <v>-5.7066350394050391E-2</v>
      </c>
    </row>
    <row r="218" spans="4:11" x14ac:dyDescent="0.25">
      <c r="D218" s="418" t="s">
        <v>235</v>
      </c>
      <c r="E218" s="290">
        <f t="shared" ref="E218:I218" si="62">F218+$K218*$K$196</f>
        <v>81.318617771314422</v>
      </c>
      <c r="F218" s="290">
        <f t="shared" si="62"/>
        <v>77.906294217051538</v>
      </c>
      <c r="G218" s="290">
        <f t="shared" si="62"/>
        <v>74.493970662788655</v>
      </c>
      <c r="H218" s="290">
        <f t="shared" si="62"/>
        <v>71.081647108525772</v>
      </c>
      <c r="I218" s="290">
        <f t="shared" si="62"/>
        <v>67.669323554262888</v>
      </c>
      <c r="J218" s="290">
        <v>64.257000000000005</v>
      </c>
      <c r="K218" s="290">
        <f t="shared" si="58"/>
        <v>2.8941128858933065</v>
      </c>
    </row>
    <row r="219" spans="4:11" x14ac:dyDescent="0.25">
      <c r="D219" s="418" t="s">
        <v>273</v>
      </c>
      <c r="E219" s="290">
        <f t="shared" ref="E219:I219" si="63">F219+$K219*$K$196</f>
        <v>75.254862770894022</v>
      </c>
      <c r="F219" s="290">
        <f t="shared" si="63"/>
        <v>71.453290216715217</v>
      </c>
      <c r="G219" s="290">
        <f t="shared" si="63"/>
        <v>67.651717662536413</v>
      </c>
      <c r="H219" s="290">
        <f t="shared" si="63"/>
        <v>63.850145108357609</v>
      </c>
      <c r="I219" s="290">
        <f t="shared" si="63"/>
        <v>60.048572554178804</v>
      </c>
      <c r="J219" s="290">
        <v>56.247</v>
      </c>
      <c r="K219" s="290">
        <f t="shared" si="58"/>
        <v>3.2242487972638476</v>
      </c>
    </row>
    <row r="220" spans="4:11" x14ac:dyDescent="0.25">
      <c r="D220" s="418" t="s">
        <v>356</v>
      </c>
      <c r="E220" s="290">
        <f t="shared" ref="E220:I220" si="64">F220+$K220*$K$196</f>
        <v>5.8478209244321375</v>
      </c>
      <c r="F220" s="290">
        <f t="shared" si="64"/>
        <v>5.3220567395457099</v>
      </c>
      <c r="G220" s="290">
        <f t="shared" si="64"/>
        <v>4.7962925546592823</v>
      </c>
      <c r="H220" s="290">
        <f t="shared" si="64"/>
        <v>4.2705283697728547</v>
      </c>
      <c r="I220" s="290">
        <f t="shared" si="64"/>
        <v>3.7447641848864275</v>
      </c>
      <c r="J220" s="290">
        <v>3.2189999999999999</v>
      </c>
      <c r="K220" s="290">
        <f t="shared" si="58"/>
        <v>0.44591929171549305</v>
      </c>
    </row>
    <row r="221" spans="4:11" x14ac:dyDescent="0.25">
      <c r="D221" s="179" t="s">
        <v>253</v>
      </c>
      <c r="E221" s="290">
        <f t="shared" ref="E221:I221" si="65">F221+$K221*$K$196</f>
        <v>5.8478209244321375</v>
      </c>
      <c r="F221" s="290">
        <f t="shared" si="65"/>
        <v>5.3220567395457099</v>
      </c>
      <c r="G221" s="290">
        <f t="shared" si="65"/>
        <v>4.7962925546592823</v>
      </c>
      <c r="H221" s="290">
        <f t="shared" si="65"/>
        <v>4.2705283697728547</v>
      </c>
      <c r="I221" s="290">
        <f t="shared" si="65"/>
        <v>3.7447641848864275</v>
      </c>
      <c r="J221" s="290">
        <v>3.2189999999999999</v>
      </c>
      <c r="K221" s="290">
        <f t="shared" si="58"/>
        <v>0.44591929171549305</v>
      </c>
    </row>
    <row r="222" spans="4:11" x14ac:dyDescent="0.25">
      <c r="K222" s="441"/>
    </row>
    <row r="223" spans="4:11" x14ac:dyDescent="0.25">
      <c r="K223" s="441"/>
    </row>
    <row r="228" spans="4:12" x14ac:dyDescent="0.25">
      <c r="D228" t="s">
        <v>1376</v>
      </c>
      <c r="E228" s="446">
        <v>2022</v>
      </c>
      <c r="F228" s="446">
        <v>2021</v>
      </c>
      <c r="G228" s="446">
        <v>2020</v>
      </c>
      <c r="H228" s="446">
        <v>2019</v>
      </c>
      <c r="I228" s="446">
        <v>2018</v>
      </c>
      <c r="J228" s="446">
        <v>2017</v>
      </c>
      <c r="K228" s="446" t="s">
        <v>296</v>
      </c>
      <c r="L228" s="446" t="s">
        <v>1372</v>
      </c>
    </row>
    <row r="229" spans="4:12" x14ac:dyDescent="0.25">
      <c r="D229" s="474" t="s">
        <v>1306</v>
      </c>
      <c r="E229" s="473">
        <f>F229*E143/F143</f>
        <v>1.4166977653426045</v>
      </c>
      <c r="F229" s="473">
        <f>G229*F143/G143</f>
        <v>1.2472132041433106</v>
      </c>
      <c r="G229" s="473">
        <f>H229*G143/H143</f>
        <v>1.1393987675256347</v>
      </c>
      <c r="H229" s="473">
        <f>I229*H143/I143</f>
        <v>1.1017410102267915</v>
      </c>
      <c r="I229" s="473">
        <f>J229*I143/J143</f>
        <v>1.1224720643655581</v>
      </c>
      <c r="J229" s="446">
        <v>1</v>
      </c>
      <c r="K229" s="446" t="str">
        <f t="shared" ref="K229" si="66">IF(G229&lt;J229, "good", "bad")</f>
        <v>bad</v>
      </c>
      <c r="L229" s="446" t="str">
        <f>IF(G229&lt;J229, "bad", "good")</f>
        <v>good</v>
      </c>
    </row>
    <row r="230" spans="4:12" x14ac:dyDescent="0.25">
      <c r="D230" s="474" t="s">
        <v>353</v>
      </c>
      <c r="E230" s="473">
        <f>F230*E146/F146</f>
        <v>1.0456284453489479</v>
      </c>
      <c r="F230" s="473">
        <f>G230*F146/G146</f>
        <v>1.0195605283494802</v>
      </c>
      <c r="G230" s="473">
        <f>H230*G146/H146</f>
        <v>0.92166153625117175</v>
      </c>
      <c r="H230" s="473">
        <f>I230*H146/I146</f>
        <v>0.923331781803855</v>
      </c>
      <c r="I230" s="473">
        <f>J230*I146/J146</f>
        <v>0.97055574749098439</v>
      </c>
      <c r="J230" s="446">
        <v>1</v>
      </c>
      <c r="K230" s="446" t="str">
        <f t="shared" ref="K230:K236" si="67">IF(G230&lt;J230, "good", "bad")</f>
        <v>good</v>
      </c>
      <c r="L230" s="446" t="str">
        <f t="shared" ref="L230:L236" si="68">IF(G230&lt;J230, "bad", "good")</f>
        <v>bad</v>
      </c>
    </row>
    <row r="231" spans="4:12" x14ac:dyDescent="0.25">
      <c r="D231" s="474" t="s">
        <v>354</v>
      </c>
      <c r="E231" s="473">
        <f>F231*E150/F150</f>
        <v>1.0986303316273882</v>
      </c>
      <c r="F231" s="473">
        <f>G231*F150/G150</f>
        <v>0.96076790820463864</v>
      </c>
      <c r="G231" s="473">
        <f>H231*G150/H150</f>
        <v>0.95027588310712485</v>
      </c>
      <c r="H231" s="473">
        <f>I231*H150/I150</f>
        <v>0.90991947118172989</v>
      </c>
      <c r="I231" s="473">
        <f>J231*I150/J150</f>
        <v>0.97364528437223319</v>
      </c>
      <c r="J231" s="446">
        <v>1</v>
      </c>
      <c r="K231" s="446" t="str">
        <f t="shared" si="67"/>
        <v>good</v>
      </c>
      <c r="L231" s="446" t="str">
        <f t="shared" si="68"/>
        <v>bad</v>
      </c>
    </row>
    <row r="232" spans="4:12" x14ac:dyDescent="0.25">
      <c r="D232" s="474" t="s">
        <v>355</v>
      </c>
      <c r="E232" s="473">
        <f>F232*E156/F156</f>
        <v>1.1570709027508719</v>
      </c>
      <c r="F232" s="473">
        <f>G232*F156/G156</f>
        <v>1.0698953893839598</v>
      </c>
      <c r="G232" s="473">
        <f>H232*G156/H156</f>
        <v>0.93785354513754349</v>
      </c>
      <c r="H232" s="473">
        <f>I232*H156/I156</f>
        <v>1.0110809763657498</v>
      </c>
      <c r="I232" s="473">
        <f>J232*I156/J156</f>
        <v>1.0098411468423092</v>
      </c>
      <c r="J232" s="446">
        <v>1</v>
      </c>
      <c r="K232" s="446" t="str">
        <f t="shared" si="67"/>
        <v>good</v>
      </c>
      <c r="L232" s="446" t="str">
        <f t="shared" si="68"/>
        <v>bad</v>
      </c>
    </row>
    <row r="233" spans="4:12" x14ac:dyDescent="0.25">
      <c r="D233" s="474" t="s">
        <v>256</v>
      </c>
      <c r="E233" s="473">
        <f t="shared" ref="E233:I236" si="69">F233*E160/F160</f>
        <v>0.9644169975003678</v>
      </c>
      <c r="F233" s="473">
        <f t="shared" si="69"/>
        <v>0.97323922952507003</v>
      </c>
      <c r="G233" s="473">
        <f t="shared" si="69"/>
        <v>0.93265696221143968</v>
      </c>
      <c r="H233" s="473">
        <f t="shared" si="69"/>
        <v>0.87634171445375686</v>
      </c>
      <c r="I233" s="473">
        <f t="shared" si="69"/>
        <v>0.9439788266431407</v>
      </c>
      <c r="J233" s="446">
        <v>1</v>
      </c>
      <c r="K233" s="446" t="str">
        <f t="shared" si="67"/>
        <v>good</v>
      </c>
      <c r="L233" s="446" t="str">
        <f t="shared" si="68"/>
        <v>bad</v>
      </c>
    </row>
    <row r="234" spans="4:12" x14ac:dyDescent="0.25">
      <c r="D234" s="474" t="s">
        <v>235</v>
      </c>
      <c r="E234" s="473">
        <f t="shared" si="69"/>
        <v>1.1909986460619073</v>
      </c>
      <c r="F234" s="473">
        <f t="shared" si="69"/>
        <v>1.1317054951211538</v>
      </c>
      <c r="G234" s="473">
        <f t="shared" si="69"/>
        <v>1.0909317272826304</v>
      </c>
      <c r="H234" s="473">
        <f t="shared" si="69"/>
        <v>1.1271923681466611</v>
      </c>
      <c r="I234" s="473">
        <f t="shared" si="69"/>
        <v>1.07474672020169</v>
      </c>
      <c r="J234" s="446">
        <v>1</v>
      </c>
      <c r="K234" s="446" t="str">
        <f t="shared" si="67"/>
        <v>bad</v>
      </c>
      <c r="L234" s="446" t="str">
        <f t="shared" si="68"/>
        <v>good</v>
      </c>
    </row>
    <row r="235" spans="4:12" x14ac:dyDescent="0.25">
      <c r="D235" s="474" t="s">
        <v>273</v>
      </c>
      <c r="E235" s="473">
        <f t="shared" si="69"/>
        <v>1.2430885202766369</v>
      </c>
      <c r="F235" s="473">
        <f t="shared" si="69"/>
        <v>1.1611285935249878</v>
      </c>
      <c r="G235" s="473">
        <f t="shared" si="69"/>
        <v>1.0183654239337208</v>
      </c>
      <c r="H235" s="473">
        <f t="shared" si="69"/>
        <v>1.1125926716091523</v>
      </c>
      <c r="I235" s="473">
        <f t="shared" si="69"/>
        <v>1.0917915622166514</v>
      </c>
      <c r="J235" s="446">
        <v>1</v>
      </c>
      <c r="K235" s="446" t="str">
        <f t="shared" si="67"/>
        <v>bad</v>
      </c>
      <c r="L235" s="446" t="str">
        <f t="shared" si="68"/>
        <v>good</v>
      </c>
    </row>
    <row r="236" spans="4:12" x14ac:dyDescent="0.25">
      <c r="D236" s="474" t="s">
        <v>356</v>
      </c>
      <c r="E236" s="473">
        <f t="shared" si="69"/>
        <v>1.5874495184840014</v>
      </c>
      <c r="F236" s="473">
        <f t="shared" si="69"/>
        <v>1.3780677228953091</v>
      </c>
      <c r="G236" s="473">
        <f t="shared" si="69"/>
        <v>1.3112767940354149</v>
      </c>
      <c r="H236" s="473">
        <f t="shared" si="69"/>
        <v>1.3560111835973907</v>
      </c>
      <c r="I236" s="473">
        <f t="shared" si="69"/>
        <v>1.2270891581236409</v>
      </c>
      <c r="J236" s="446">
        <v>1</v>
      </c>
      <c r="K236" s="446" t="str">
        <f t="shared" si="67"/>
        <v>bad</v>
      </c>
      <c r="L236" s="446" t="str">
        <f t="shared" si="68"/>
        <v>good</v>
      </c>
    </row>
    <row r="237" spans="4:12" x14ac:dyDescent="0.25">
      <c r="D237" s="474" t="s">
        <v>1377</v>
      </c>
      <c r="E237" s="446">
        <v>1</v>
      </c>
      <c r="F237" s="446">
        <v>1</v>
      </c>
      <c r="G237" s="446">
        <v>1</v>
      </c>
      <c r="H237" s="446">
        <v>1</v>
      </c>
      <c r="I237" s="446">
        <v>1</v>
      </c>
      <c r="J237" s="446">
        <v>1</v>
      </c>
      <c r="K237" s="446"/>
      <c r="L237" s="446"/>
    </row>
    <row r="239" spans="4:12" x14ac:dyDescent="0.25">
      <c r="D239" s="474" t="s">
        <v>1306</v>
      </c>
    </row>
    <row r="240" spans="4:12" x14ac:dyDescent="0.25">
      <c r="D240" s="474" t="s">
        <v>353</v>
      </c>
    </row>
    <row r="241" spans="4:4" x14ac:dyDescent="0.25">
      <c r="D241" s="474" t="s">
        <v>354</v>
      </c>
    </row>
  </sheetData>
  <scenarios current="0" show="0">
    <scenario name="Exchange Rates" locked="1" count="21" user="Conor Barry-Hoke" comment="Created by Conor Barry-Hoke on 5/23/2018">
      <inputCells r="P113" val="1"/>
      <inputCells r="P114" val="1"/>
      <inputCells r="P115" val=""/>
      <inputCells r="P116" val="1"/>
      <inputCells r="P117" val="1.342"/>
      <inputCells r="P118" val="1088"/>
      <inputCells r="P119" val=""/>
      <inputCells r="P120" val="0.867"/>
      <inputCells r="P121" val="0.867"/>
      <inputCells r="P122" val="0.867"/>
      <inputCells r="P123" val="3.84138669673055"/>
      <inputCells r="P124" val="0.75"/>
      <inputCells r="P125" val=""/>
      <inputCells r="P126" val="13.032"/>
      <inputCells r="P127" val="13.032"/>
      <inputCells r="P128" val="13.032"/>
      <inputCells r="P129" val="6.42"/>
      <inputCells r="P130" val="69.06"/>
      <inputCells r="P131" val="61.41"/>
      <inputCells r="P132" val="3.95"/>
      <inputCells r="P133" val="3.95"/>
    </scenario>
  </scenarios>
  <hyperlinks>
    <hyperlink ref="L103" r:id="rId1" xr:uid="{B1F9A912-AF79-459F-88A1-B397A7AC92CD}"/>
  </hyperlinks>
  <pageMargins left="0.7" right="0.7" top="0.75" bottom="0.75" header="0.3" footer="0.3"/>
  <pageSetup orientation="portrait" r:id="rId2"/>
  <drawing r:id="rId3"/>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3324C-BD0C-4978-9509-3F91002D3A08}">
  <sheetPr codeName="Sheet19">
    <tabColor theme="8" tint="0.39997558519241921"/>
  </sheetPr>
  <dimension ref="A1:S105"/>
  <sheetViews>
    <sheetView workbookViewId="0">
      <pane ySplit="1" topLeftCell="A2" activePane="bottomLeft" state="frozen"/>
      <selection pane="bottomLeft" activeCell="A2" sqref="A2"/>
    </sheetView>
  </sheetViews>
  <sheetFormatPr defaultRowHeight="15" x14ac:dyDescent="0.25"/>
  <cols>
    <col min="1" max="1" width="37.42578125" customWidth="1"/>
    <col min="14" max="14" width="40.140625" customWidth="1"/>
  </cols>
  <sheetData>
    <row r="1" spans="1:17" x14ac:dyDescent="0.25">
      <c r="A1" t="s">
        <v>282</v>
      </c>
      <c r="B1" s="246">
        <v>2022</v>
      </c>
      <c r="C1" s="246">
        <v>2021</v>
      </c>
      <c r="D1" s="246">
        <v>2020</v>
      </c>
      <c r="E1" s="246">
        <v>2019</v>
      </c>
      <c r="F1" s="246">
        <v>2018</v>
      </c>
      <c r="G1" s="178">
        <v>2017</v>
      </c>
      <c r="H1" s="178">
        <v>2016</v>
      </c>
      <c r="I1" s="178">
        <v>2015</v>
      </c>
      <c r="J1" s="246">
        <v>2014</v>
      </c>
      <c r="K1" s="246">
        <v>2013</v>
      </c>
      <c r="N1" t="s">
        <v>282</v>
      </c>
      <c r="O1" t="s">
        <v>1152</v>
      </c>
    </row>
    <row r="2" spans="1:17" x14ac:dyDescent="0.25">
      <c r="A2" t="s">
        <v>295</v>
      </c>
      <c r="B2" s="246"/>
      <c r="C2" s="246"/>
      <c r="D2" s="246"/>
      <c r="E2" s="246"/>
      <c r="F2" s="246"/>
      <c r="G2" s="178"/>
      <c r="H2" s="178"/>
      <c r="I2" s="178"/>
      <c r="J2" s="178"/>
      <c r="K2" s="178"/>
      <c r="N2" t="s">
        <v>787</v>
      </c>
      <c r="O2" s="178">
        <v>2017</v>
      </c>
      <c r="P2" s="178">
        <v>2016</v>
      </c>
      <c r="Q2" s="178">
        <v>2015</v>
      </c>
    </row>
    <row r="3" spans="1:17" x14ac:dyDescent="0.25">
      <c r="A3" t="s">
        <v>775</v>
      </c>
      <c r="B3" s="216">
        <f>B$5*Predictions!$H79</f>
        <v>1205.4395353765083</v>
      </c>
      <c r="C3" s="216">
        <f>C$5*Predictions!$H79</f>
        <v>1252.7218273146395</v>
      </c>
      <c r="D3" s="216">
        <f>D$5*Predictions!$H79</f>
        <v>1307.0322672714115</v>
      </c>
      <c r="E3" s="216">
        <f>E$5*Predictions!$H79</f>
        <v>1364.4646560938183</v>
      </c>
      <c r="F3" s="216">
        <f>F$5*Predictions!$H79</f>
        <v>1617.8476926631888</v>
      </c>
      <c r="G3" s="178">
        <v>1237</v>
      </c>
      <c r="H3" s="178">
        <v>995</v>
      </c>
      <c r="I3" s="178">
        <v>1275</v>
      </c>
      <c r="J3" s="178">
        <v>1407</v>
      </c>
      <c r="K3" s="178">
        <v>1058</v>
      </c>
      <c r="N3" t="s">
        <v>783</v>
      </c>
      <c r="O3" s="65">
        <v>0.35</v>
      </c>
      <c r="P3" s="65">
        <v>0.35</v>
      </c>
      <c r="Q3" s="65">
        <v>0.35</v>
      </c>
    </row>
    <row r="4" spans="1:17" x14ac:dyDescent="0.25">
      <c r="A4" t="s">
        <v>776</v>
      </c>
      <c r="B4" s="216">
        <f>B$5*Predictions!$H80</f>
        <v>989.2597392632731</v>
      </c>
      <c r="C4" s="216">
        <f>C$5*Predictions!$H80</f>
        <v>1028.0625712774695</v>
      </c>
      <c r="D4" s="216">
        <f>D$5*Predictions!$H80</f>
        <v>1072.6331449928311</v>
      </c>
      <c r="E4" s="216">
        <f>E$5*Predictions!$H80</f>
        <v>1119.7657869249504</v>
      </c>
      <c r="F4" s="216">
        <f>F$5*Predictions!$H80</f>
        <v>1327.7078937947567</v>
      </c>
      <c r="G4" s="178">
        <v>1128</v>
      </c>
      <c r="H4" s="178">
        <v>935</v>
      </c>
      <c r="I4" s="178">
        <v>750</v>
      </c>
      <c r="J4" s="178">
        <v>1027</v>
      </c>
      <c r="K4" s="178">
        <v>1061</v>
      </c>
      <c r="N4" t="s">
        <v>789</v>
      </c>
      <c r="O4" s="215">
        <f>SUM(O5:O9)</f>
        <v>0.23</v>
      </c>
      <c r="P4" s="215">
        <f>SUM(P5:P9)</f>
        <v>-0.10400000000000001</v>
      </c>
      <c r="Q4" s="215">
        <f>SUM(Q5:Q9)</f>
        <v>-7.6000000000000012E-2</v>
      </c>
    </row>
    <row r="5" spans="1:17" x14ac:dyDescent="0.25">
      <c r="A5" t="s">
        <v>777</v>
      </c>
      <c r="B5" s="216">
        <f>'Income Statement (Y)'!C30</f>
        <v>2194.6992746397814</v>
      </c>
      <c r="C5" s="216">
        <f>'Income Statement (Y)'!D30</f>
        <v>2280.784398592109</v>
      </c>
      <c r="D5" s="216">
        <f>'Income Statement (Y)'!E30</f>
        <v>2379.6654122642426</v>
      </c>
      <c r="E5" s="216">
        <f>'Income Statement (Y)'!F30</f>
        <v>2484.2304430187687</v>
      </c>
      <c r="F5" s="216">
        <f>'Income Statement (Y)'!G30</f>
        <v>2945.5555864579455</v>
      </c>
      <c r="G5" s="178">
        <f>SUM(G3:G4)</f>
        <v>2365</v>
      </c>
      <c r="H5" s="178">
        <f>SUM(H3:H4)</f>
        <v>1930</v>
      </c>
      <c r="I5" s="178">
        <f>SUM(I3:I4)</f>
        <v>2025</v>
      </c>
      <c r="J5" s="178">
        <f>SUM(J3:J4)</f>
        <v>2434</v>
      </c>
      <c r="K5" s="178">
        <f>SUM(K3:K4)</f>
        <v>2119</v>
      </c>
      <c r="N5" s="9" t="s">
        <v>784</v>
      </c>
      <c r="O5" s="65">
        <v>6.0000000000000001E-3</v>
      </c>
      <c r="P5" s="65">
        <v>8.0000000000000002E-3</v>
      </c>
      <c r="Q5" s="65">
        <v>1.2E-2</v>
      </c>
    </row>
    <row r="6" spans="1:17" x14ac:dyDescent="0.25">
      <c r="B6" s="246"/>
      <c r="C6" s="246"/>
      <c r="D6" s="246"/>
      <c r="E6" s="246"/>
      <c r="F6" s="246"/>
      <c r="G6" s="178"/>
      <c r="H6" s="178"/>
      <c r="I6" s="178"/>
      <c r="J6" s="178"/>
      <c r="K6" s="178"/>
      <c r="L6" s="281" t="s">
        <v>859</v>
      </c>
      <c r="N6" s="9" t="s">
        <v>788</v>
      </c>
      <c r="O6" s="65">
        <v>-6.4000000000000001E-2</v>
      </c>
      <c r="P6" s="65">
        <v>-7.1999999999999995E-2</v>
      </c>
      <c r="Q6" s="65">
        <v>-6.6000000000000003E-2</v>
      </c>
    </row>
    <row r="7" spans="1:17" x14ac:dyDescent="0.25">
      <c r="A7" t="s">
        <v>857</v>
      </c>
      <c r="B7" s="214"/>
      <c r="C7" s="214"/>
      <c r="D7" s="214"/>
      <c r="E7" s="214"/>
      <c r="G7" s="214">
        <f t="shared" ref="G7:K8" si="0">G19/G3</f>
        <v>0.28698464025869036</v>
      </c>
      <c r="H7" s="214">
        <f t="shared" si="0"/>
        <v>0.21206030150753769</v>
      </c>
      <c r="I7" s="214">
        <f t="shared" si="0"/>
        <v>0.40470588235294119</v>
      </c>
      <c r="J7" s="214">
        <f t="shared" si="0"/>
        <v>0.33404406538734899</v>
      </c>
      <c r="K7" s="214">
        <f t="shared" si="0"/>
        <v>0.22589792060491493</v>
      </c>
      <c r="L7" s="214">
        <f>SUM(G19:K19)/SUM(G3:K3)</f>
        <v>0.29989953114534496</v>
      </c>
      <c r="N7" s="9" t="s">
        <v>785</v>
      </c>
      <c r="O7" s="65">
        <v>-1.4E-2</v>
      </c>
      <c r="P7" s="65">
        <v>-1.7000000000000001E-2</v>
      </c>
      <c r="Q7" s="65">
        <v>-1.4E-2</v>
      </c>
    </row>
    <row r="8" spans="1:17" x14ac:dyDescent="0.25">
      <c r="A8" t="s">
        <v>858</v>
      </c>
      <c r="B8" s="214"/>
      <c r="C8" s="214"/>
      <c r="D8" s="214"/>
      <c r="E8" s="214"/>
      <c r="F8" s="214"/>
      <c r="G8" s="214">
        <f t="shared" si="0"/>
        <v>0.25620567375886527</v>
      </c>
      <c r="H8" s="214">
        <f t="shared" si="0"/>
        <v>0.22780748663101605</v>
      </c>
      <c r="I8" s="214">
        <f t="shared" si="0"/>
        <v>0.19600000000000001</v>
      </c>
      <c r="J8" s="214">
        <f t="shared" si="0"/>
        <v>0.19182083739045763</v>
      </c>
      <c r="K8" s="214">
        <f t="shared" si="0"/>
        <v>0.18096135721017909</v>
      </c>
      <c r="L8" s="214">
        <f>SUM(G20:K20)/SUM(G4:K4)</f>
        <v>0.21179351152825954</v>
      </c>
      <c r="N8" s="9" t="s">
        <v>781</v>
      </c>
      <c r="O8" s="65">
        <v>0.33100000000000002</v>
      </c>
      <c r="P8" s="65">
        <v>0</v>
      </c>
      <c r="Q8" s="65">
        <v>0</v>
      </c>
    </row>
    <row r="9" spans="1:17" x14ac:dyDescent="0.25">
      <c r="A9" t="s">
        <v>15</v>
      </c>
      <c r="B9" s="214"/>
      <c r="C9" s="214"/>
      <c r="D9" s="214"/>
      <c r="E9" s="214"/>
      <c r="F9" s="214"/>
      <c r="G9" s="214">
        <f>G16/G5</f>
        <v>0.57970401691331919</v>
      </c>
      <c r="H9" s="214">
        <f>H16/H5</f>
        <v>0.24559585492227978</v>
      </c>
      <c r="I9" s="214">
        <f>I16/I5</f>
        <v>0.27407407407407408</v>
      </c>
      <c r="J9" s="214">
        <f>J16/J5</f>
        <v>0.28677074774034511</v>
      </c>
      <c r="K9" s="214">
        <f>K16/K5</f>
        <v>0.25058990089664934</v>
      </c>
      <c r="L9" s="214">
        <f>SUM(G17:K17)/SUM(G5:K5)</f>
        <v>0.29228363837027499</v>
      </c>
      <c r="N9" s="9" t="s">
        <v>2</v>
      </c>
      <c r="O9" s="65">
        <v>-2.9000000000000001E-2</v>
      </c>
      <c r="P9" s="65">
        <v>-2.3E-2</v>
      </c>
      <c r="Q9" s="65">
        <v>-8.0000000000000002E-3</v>
      </c>
    </row>
    <row r="10" spans="1:17" x14ac:dyDescent="0.25">
      <c r="B10" s="214"/>
      <c r="C10" s="214"/>
      <c r="D10" s="214"/>
      <c r="E10" s="214"/>
      <c r="F10" s="214"/>
      <c r="G10" s="214"/>
      <c r="H10" s="214"/>
      <c r="I10" s="214"/>
      <c r="J10" s="214"/>
      <c r="K10" s="214"/>
      <c r="L10" s="214"/>
      <c r="N10" t="s">
        <v>786</v>
      </c>
      <c r="O10" s="65">
        <f>O4+O3</f>
        <v>0.57999999999999996</v>
      </c>
      <c r="P10" s="65">
        <f t="shared" ref="P10:Q10" si="1">P4+P3</f>
        <v>0.24599999999999997</v>
      </c>
      <c r="Q10" s="65">
        <f t="shared" si="1"/>
        <v>0.27399999999999997</v>
      </c>
    </row>
    <row r="11" spans="1:17" x14ac:dyDescent="0.25">
      <c r="G11" s="214"/>
      <c r="H11" s="214"/>
      <c r="I11" s="214"/>
      <c r="J11" s="214"/>
      <c r="K11" s="214"/>
      <c r="L11" s="214"/>
    </row>
    <row r="12" spans="1:17" x14ac:dyDescent="0.25">
      <c r="G12" s="214"/>
      <c r="H12" s="214"/>
      <c r="I12" s="214"/>
      <c r="J12" s="214"/>
      <c r="K12" s="214"/>
      <c r="L12" s="214"/>
    </row>
    <row r="13" spans="1:17" x14ac:dyDescent="0.25">
      <c r="G13" s="214"/>
      <c r="H13" s="214"/>
      <c r="I13" s="214"/>
      <c r="J13" s="214"/>
      <c r="K13" s="214"/>
      <c r="L13" s="214"/>
    </row>
    <row r="14" spans="1:17" x14ac:dyDescent="0.25">
      <c r="B14" s="246"/>
      <c r="C14" s="246"/>
      <c r="D14" s="246"/>
      <c r="E14" s="246"/>
      <c r="F14" s="246"/>
      <c r="G14" s="178"/>
      <c r="H14" s="178"/>
      <c r="I14" s="178"/>
      <c r="J14" s="178"/>
      <c r="K14" s="178"/>
    </row>
    <row r="15" spans="1:17" x14ac:dyDescent="0.25">
      <c r="A15" t="s">
        <v>295</v>
      </c>
      <c r="B15" s="246"/>
      <c r="C15" s="246"/>
      <c r="D15" s="246"/>
      <c r="E15" s="246"/>
      <c r="F15" s="246"/>
      <c r="G15" s="178">
        <v>2017</v>
      </c>
      <c r="H15" s="178">
        <v>2016</v>
      </c>
      <c r="I15" s="178">
        <v>2015</v>
      </c>
      <c r="J15" s="178">
        <v>2014</v>
      </c>
      <c r="K15" s="178">
        <v>2013</v>
      </c>
      <c r="L15" t="s">
        <v>1028</v>
      </c>
      <c r="M15" t="s">
        <v>1025</v>
      </c>
    </row>
    <row r="16" spans="1:17" x14ac:dyDescent="0.25">
      <c r="A16" t="s">
        <v>313</v>
      </c>
      <c r="B16" s="216">
        <f t="shared" ref="B16:F16" si="2">SUBTOTAL(9,B17:B26)</f>
        <v>571.02954547557636</v>
      </c>
      <c r="C16" s="216">
        <f t="shared" si="2"/>
        <v>679.8276707088271</v>
      </c>
      <c r="D16" s="216">
        <f t="shared" si="2"/>
        <v>791.95510450616609</v>
      </c>
      <c r="E16" s="216">
        <f t="shared" si="2"/>
        <v>905.56143872897053</v>
      </c>
      <c r="F16" s="216">
        <f t="shared" si="2"/>
        <v>1111.9916816048494</v>
      </c>
      <c r="G16" s="216">
        <f>SUBTOTAL(9,G17:G26)</f>
        <v>1371</v>
      </c>
      <c r="H16" s="178">
        <f>SUBTOTAL(9,H17:H26)</f>
        <v>474</v>
      </c>
      <c r="I16" s="178">
        <f>SUBTOTAL(9,I17:I26)</f>
        <v>555</v>
      </c>
      <c r="J16" s="178">
        <f>SUBTOTAL(9,J17:J26)</f>
        <v>698</v>
      </c>
      <c r="K16" s="178">
        <f>SUBTOTAL(9,K17:K26)</f>
        <v>531</v>
      </c>
    </row>
    <row r="17" spans="1:19" x14ac:dyDescent="0.25">
      <c r="A17" s="9" t="s">
        <v>778</v>
      </c>
      <c r="B17" s="216">
        <f t="shared" ref="B17:F17" si="3">SUBTOTAL(9,B19:B21)</f>
        <v>567.74343190013337</v>
      </c>
      <c r="C17" s="216">
        <f t="shared" si="3"/>
        <v>590.01266225574307</v>
      </c>
      <c r="D17" s="216">
        <f t="shared" si="3"/>
        <v>615.59204194601762</v>
      </c>
      <c r="E17" s="216">
        <f t="shared" si="3"/>
        <v>642.64181140796882</v>
      </c>
      <c r="F17" s="216">
        <f t="shared" si="3"/>
        <v>761.98131417468289</v>
      </c>
      <c r="G17" s="216">
        <f>SUBTOTAL(9,G19:G21)</f>
        <v>993</v>
      </c>
      <c r="H17" s="178">
        <f>SUBTOTAL(9,H19:H21)</f>
        <v>424</v>
      </c>
      <c r="I17" s="178">
        <f>SUBTOTAL(9,I19:I21)</f>
        <v>663</v>
      </c>
      <c r="J17" s="178">
        <f>SUBTOTAL(9,J19:J21)</f>
        <v>667</v>
      </c>
      <c r="K17" s="178">
        <f>SUBTOTAL(9,K19:K21)</f>
        <v>431</v>
      </c>
    </row>
    <row r="18" spans="1:19" x14ac:dyDescent="0.25">
      <c r="A18" s="179" t="s">
        <v>926</v>
      </c>
      <c r="B18" s="216">
        <f t="shared" ref="B18:F18" si="4">SUBTOTAL(9,B19:B20)</f>
        <v>567.74343190013337</v>
      </c>
      <c r="C18" s="216">
        <f t="shared" si="4"/>
        <v>590.01266225574307</v>
      </c>
      <c r="D18" s="216">
        <f t="shared" si="4"/>
        <v>615.59204194601762</v>
      </c>
      <c r="E18" s="216">
        <f t="shared" si="4"/>
        <v>642.64181140796882</v>
      </c>
      <c r="F18" s="216">
        <f t="shared" si="4"/>
        <v>761.98131417468289</v>
      </c>
      <c r="G18" s="216">
        <f t="shared" ref="G18:K18" si="5">SUBTOTAL(9,G19:G20)</f>
        <v>644</v>
      </c>
      <c r="H18" s="225">
        <f t="shared" si="5"/>
        <v>424</v>
      </c>
      <c r="I18" s="225">
        <f t="shared" si="5"/>
        <v>663</v>
      </c>
      <c r="J18" s="225">
        <f t="shared" si="5"/>
        <v>667</v>
      </c>
      <c r="K18" s="225">
        <f t="shared" si="5"/>
        <v>431</v>
      </c>
    </row>
    <row r="19" spans="1:19" x14ac:dyDescent="0.25">
      <c r="A19" s="186" t="s">
        <v>779</v>
      </c>
      <c r="B19" s="216">
        <f t="shared" ref="B19:E19" si="6">B28*$L$36</f>
        <v>367.66936735202034</v>
      </c>
      <c r="C19" s="216">
        <f t="shared" si="6"/>
        <v>382.090870756931</v>
      </c>
      <c r="D19" s="216">
        <f t="shared" si="6"/>
        <v>398.65601941308432</v>
      </c>
      <c r="E19" s="216">
        <f t="shared" si="6"/>
        <v>416.17338917253403</v>
      </c>
      <c r="F19" s="216">
        <f>F28*$L$36</f>
        <v>493.45738228803793</v>
      </c>
      <c r="G19" s="178">
        <v>355</v>
      </c>
      <c r="H19" s="178">
        <v>211</v>
      </c>
      <c r="I19" s="178">
        <v>516</v>
      </c>
      <c r="J19" s="178">
        <v>470</v>
      </c>
      <c r="K19" s="178">
        <v>239</v>
      </c>
    </row>
    <row r="20" spans="1:19" x14ac:dyDescent="0.25">
      <c r="A20" s="186" t="s">
        <v>780</v>
      </c>
      <c r="B20" s="216">
        <f>B$29*$L37</f>
        <v>200.074064548113</v>
      </c>
      <c r="C20" s="216">
        <f t="shared" ref="C20:F20" si="7">C$29*$L37</f>
        <v>207.92179149881204</v>
      </c>
      <c r="D20" s="216">
        <f t="shared" si="7"/>
        <v>216.93602253293332</v>
      </c>
      <c r="E20" s="216">
        <f t="shared" si="7"/>
        <v>226.46842223543479</v>
      </c>
      <c r="F20" s="216">
        <f t="shared" si="7"/>
        <v>268.52393188664496</v>
      </c>
      <c r="G20" s="178">
        <v>289</v>
      </c>
      <c r="H20" s="178">
        <v>213</v>
      </c>
      <c r="I20" s="178">
        <v>147</v>
      </c>
      <c r="J20" s="178">
        <v>197</v>
      </c>
      <c r="K20" s="178">
        <v>192</v>
      </c>
    </row>
    <row r="21" spans="1:19" x14ac:dyDescent="0.25">
      <c r="A21" s="179" t="s">
        <v>781</v>
      </c>
      <c r="B21" s="246">
        <v>0</v>
      </c>
      <c r="C21" s="246">
        <v>0</v>
      </c>
      <c r="D21" s="246">
        <v>0</v>
      </c>
      <c r="E21" s="246">
        <v>0</v>
      </c>
      <c r="F21" s="246">
        <v>0</v>
      </c>
      <c r="G21" s="178">
        <v>349</v>
      </c>
      <c r="H21" s="178">
        <v>0</v>
      </c>
      <c r="I21" s="178">
        <v>0</v>
      </c>
      <c r="J21" s="178">
        <v>0</v>
      </c>
      <c r="K21" s="178">
        <v>0</v>
      </c>
    </row>
    <row r="22" spans="1:19" x14ac:dyDescent="0.25">
      <c r="A22" s="9" t="s">
        <v>782</v>
      </c>
      <c r="B22" s="216">
        <f t="shared" ref="B22:F22" si="8">SUBTOTAL(9,B23:B26)</f>
        <v>3.2861135754430117</v>
      </c>
      <c r="C22" s="216">
        <f t="shared" si="8"/>
        <v>89.815008453084019</v>
      </c>
      <c r="D22" s="216">
        <f t="shared" si="8"/>
        <v>176.36306256014836</v>
      </c>
      <c r="E22" s="216">
        <f t="shared" si="8"/>
        <v>262.91962732100177</v>
      </c>
      <c r="F22" s="216">
        <f t="shared" si="8"/>
        <v>350.01036743016658</v>
      </c>
      <c r="G22" s="178">
        <f>SUBTOTAL(9,G23:G26)</f>
        <v>378</v>
      </c>
      <c r="H22" s="178">
        <f t="shared" ref="H22:K22" si="9">SUBTOTAL(9,H24:H26)</f>
        <v>50</v>
      </c>
      <c r="I22" s="178">
        <f t="shared" si="9"/>
        <v>-108</v>
      </c>
      <c r="J22" s="178">
        <f t="shared" si="9"/>
        <v>31</v>
      </c>
      <c r="K22" s="178">
        <f t="shared" si="9"/>
        <v>100</v>
      </c>
    </row>
    <row r="23" spans="1:19" x14ac:dyDescent="0.25">
      <c r="A23" s="179" t="s">
        <v>926</v>
      </c>
      <c r="B23" s="216">
        <f t="shared" ref="B23:F23" si="10">SUBTOTAL(9,B24:B25)</f>
        <v>3.2861135754430117</v>
      </c>
      <c r="C23" s="216">
        <f t="shared" si="10"/>
        <v>3.4150084530839901</v>
      </c>
      <c r="D23" s="216">
        <f t="shared" si="10"/>
        <v>3.5630625601483388</v>
      </c>
      <c r="E23" s="216">
        <f t="shared" si="10"/>
        <v>3.7196273210017177</v>
      </c>
      <c r="F23" s="216">
        <f t="shared" si="10"/>
        <v>4.4103674301665556</v>
      </c>
      <c r="G23" s="225">
        <f>SUBTOTAL(9,G24:G25)</f>
        <v>-54</v>
      </c>
      <c r="H23" s="225">
        <f t="shared" ref="H23:K23" si="11">SUBTOTAL(9,H24:H25)</f>
        <v>50</v>
      </c>
      <c r="I23" s="225">
        <f t="shared" si="11"/>
        <v>-108</v>
      </c>
      <c r="J23" s="225">
        <f t="shared" si="11"/>
        <v>31</v>
      </c>
      <c r="K23" s="225">
        <f t="shared" si="11"/>
        <v>100</v>
      </c>
    </row>
    <row r="24" spans="1:19" x14ac:dyDescent="0.25">
      <c r="A24" s="186" t="s">
        <v>779</v>
      </c>
      <c r="B24" s="216">
        <f>B$28*$L41</f>
        <v>-6.1586158685430545</v>
      </c>
      <c r="C24" s="216">
        <f t="shared" ref="C24:E24" si="12">C$28*$L41</f>
        <v>-6.400182089730837</v>
      </c>
      <c r="D24" s="216">
        <f t="shared" si="12"/>
        <v>-6.6776552665508255</v>
      </c>
      <c r="E24" s="216">
        <f t="shared" si="12"/>
        <v>-6.9710785456035849</v>
      </c>
      <c r="F24" s="216">
        <f>F$28*$L41</f>
        <v>-8.2656177937694792</v>
      </c>
      <c r="G24" s="178">
        <v>-42</v>
      </c>
      <c r="H24" s="178">
        <v>57</v>
      </c>
      <c r="I24" s="178">
        <v>-151</v>
      </c>
      <c r="J24" s="178">
        <v>39</v>
      </c>
      <c r="K24" s="178">
        <v>67</v>
      </c>
      <c r="P24" s="225"/>
      <c r="Q24" s="225"/>
      <c r="R24" s="225"/>
    </row>
    <row r="25" spans="1:19" x14ac:dyDescent="0.25">
      <c r="A25" s="186" t="s">
        <v>780</v>
      </c>
      <c r="B25" s="216">
        <f>B$29*$L42</f>
        <v>9.4447294439860663</v>
      </c>
      <c r="C25" s="216">
        <f t="shared" ref="C25:F25" si="13">C$29*$L42</f>
        <v>9.8151905428148272</v>
      </c>
      <c r="D25" s="216">
        <f t="shared" si="13"/>
        <v>10.240717826699164</v>
      </c>
      <c r="E25" s="216">
        <f t="shared" si="13"/>
        <v>10.690705866605303</v>
      </c>
      <c r="F25" s="216">
        <f t="shared" si="13"/>
        <v>12.675985223936035</v>
      </c>
      <c r="G25" s="178">
        <v>-12</v>
      </c>
      <c r="H25" s="178">
        <v>-7</v>
      </c>
      <c r="I25" s="178">
        <v>43</v>
      </c>
      <c r="J25" s="178">
        <v>-8</v>
      </c>
      <c r="K25" s="178">
        <v>33</v>
      </c>
    </row>
    <row r="26" spans="1:19" x14ac:dyDescent="0.25">
      <c r="A26" s="179" t="s">
        <v>781</v>
      </c>
      <c r="B26" s="261">
        <f t="shared" ref="B26:E26" si="14">C26+$L26</f>
        <v>0</v>
      </c>
      <c r="C26" s="261">
        <f t="shared" si="14"/>
        <v>86.400000000000034</v>
      </c>
      <c r="D26" s="261">
        <f t="shared" si="14"/>
        <v>172.80000000000004</v>
      </c>
      <c r="E26" s="261">
        <f t="shared" si="14"/>
        <v>259.20000000000005</v>
      </c>
      <c r="F26" s="246">
        <f>G26+$L26</f>
        <v>345.6</v>
      </c>
      <c r="G26" s="178">
        <v>432</v>
      </c>
      <c r="H26" s="178">
        <v>0</v>
      </c>
      <c r="I26" s="178">
        <v>0</v>
      </c>
      <c r="J26" s="178">
        <v>0</v>
      </c>
      <c r="K26" s="178">
        <v>0</v>
      </c>
      <c r="L26">
        <f>-G26/5</f>
        <v>-86.4</v>
      </c>
      <c r="M26" t="s">
        <v>1020</v>
      </c>
      <c r="N26" t="s">
        <v>1065</v>
      </c>
      <c r="O26" s="102">
        <f>F26</f>
        <v>345.6</v>
      </c>
      <c r="P26" s="103"/>
      <c r="Q26" s="102"/>
      <c r="R26" s="201"/>
      <c r="S26" s="201"/>
    </row>
    <row r="28" spans="1:19" x14ac:dyDescent="0.25">
      <c r="A28" s="10" t="s">
        <v>779</v>
      </c>
      <c r="B28" s="216">
        <f t="shared" ref="B28:F29" si="15">B3*$L7</f>
        <v>361.51075148347729</v>
      </c>
      <c r="C28" s="216">
        <f t="shared" si="15"/>
        <v>375.69068866720016</v>
      </c>
      <c r="D28" s="216">
        <f t="shared" si="15"/>
        <v>391.97836414653347</v>
      </c>
      <c r="E28" s="216">
        <f t="shared" si="15"/>
        <v>409.20231062693045</v>
      </c>
      <c r="F28" s="216">
        <f t="shared" si="15"/>
        <v>485.19176449426845</v>
      </c>
      <c r="G28" s="178">
        <f>G19+G24</f>
        <v>313</v>
      </c>
      <c r="H28" s="178">
        <f t="shared" ref="H28:K28" si="16">H19+H24</f>
        <v>268</v>
      </c>
      <c r="I28" s="178">
        <f t="shared" si="16"/>
        <v>365</v>
      </c>
      <c r="J28" s="178">
        <f t="shared" si="16"/>
        <v>509</v>
      </c>
      <c r="K28" s="178">
        <f t="shared" si="16"/>
        <v>306</v>
      </c>
    </row>
    <row r="29" spans="1:19" x14ac:dyDescent="0.25">
      <c r="A29" s="10" t="s">
        <v>780</v>
      </c>
      <c r="B29" s="216">
        <f t="shared" si="15"/>
        <v>209.51879399209906</v>
      </c>
      <c r="C29" s="216">
        <f t="shared" si="15"/>
        <v>217.73698204162687</v>
      </c>
      <c r="D29" s="216">
        <f t="shared" si="15"/>
        <v>227.17674035963248</v>
      </c>
      <c r="E29" s="216">
        <f t="shared" si="15"/>
        <v>237.15912810204009</v>
      </c>
      <c r="F29" s="216">
        <f t="shared" si="15"/>
        <v>281.199917110581</v>
      </c>
      <c r="G29" s="178">
        <f>G20+G25</f>
        <v>277</v>
      </c>
      <c r="H29" s="178">
        <f t="shared" ref="H29:K30" si="17">H20+H25</f>
        <v>206</v>
      </c>
      <c r="I29" s="178">
        <f t="shared" si="17"/>
        <v>190</v>
      </c>
      <c r="J29" s="178">
        <f t="shared" si="17"/>
        <v>189</v>
      </c>
      <c r="K29" s="178">
        <f t="shared" si="17"/>
        <v>225</v>
      </c>
    </row>
    <row r="30" spans="1:19" x14ac:dyDescent="0.25">
      <c r="A30" s="10" t="s">
        <v>781</v>
      </c>
      <c r="B30" s="216">
        <v>0</v>
      </c>
      <c r="C30" s="216">
        <v>0</v>
      </c>
      <c r="D30" s="216">
        <v>0</v>
      </c>
      <c r="E30" s="216">
        <v>0</v>
      </c>
      <c r="F30" s="216">
        <v>0</v>
      </c>
      <c r="G30" s="178">
        <f>G21+G26</f>
        <v>781</v>
      </c>
      <c r="H30" s="178">
        <f t="shared" si="17"/>
        <v>0</v>
      </c>
      <c r="I30" s="178">
        <f t="shared" si="17"/>
        <v>0</v>
      </c>
      <c r="J30" s="178">
        <f t="shared" si="17"/>
        <v>0</v>
      </c>
      <c r="K30" s="178">
        <f t="shared" si="17"/>
        <v>0</v>
      </c>
    </row>
    <row r="31" spans="1:19" x14ac:dyDescent="0.25">
      <c r="A31" s="10" t="s">
        <v>15</v>
      </c>
      <c r="B31" s="216">
        <f>SUM(B28:B30)</f>
        <v>571.02954547557636</v>
      </c>
      <c r="C31" s="216">
        <f t="shared" ref="C31:K31" si="18">SUM(C28:C30)</f>
        <v>593.42767070882701</v>
      </c>
      <c r="D31" s="216">
        <f t="shared" si="18"/>
        <v>619.15510450616591</v>
      </c>
      <c r="E31" s="216">
        <f t="shared" si="18"/>
        <v>646.3614387289706</v>
      </c>
      <c r="F31" s="216">
        <f t="shared" si="18"/>
        <v>766.39168160484951</v>
      </c>
      <c r="G31" s="216">
        <f t="shared" si="18"/>
        <v>1371</v>
      </c>
      <c r="H31" s="216">
        <f t="shared" si="18"/>
        <v>474</v>
      </c>
      <c r="I31" s="216">
        <f t="shared" si="18"/>
        <v>555</v>
      </c>
      <c r="J31" s="216">
        <f t="shared" si="18"/>
        <v>698</v>
      </c>
      <c r="K31" s="216">
        <f t="shared" si="18"/>
        <v>531</v>
      </c>
    </row>
    <row r="33" spans="1:17" x14ac:dyDescent="0.25">
      <c r="A33" t="s">
        <v>313</v>
      </c>
      <c r="L33" s="281" t="s">
        <v>1016</v>
      </c>
    </row>
    <row r="34" spans="1:17" x14ac:dyDescent="0.25">
      <c r="A34" s="9" t="s">
        <v>778</v>
      </c>
      <c r="G34" s="3">
        <f>G17/G16</f>
        <v>0.72428884026258211</v>
      </c>
      <c r="H34" s="3">
        <f>H17/H16</f>
        <v>0.89451476793248941</v>
      </c>
      <c r="I34" s="3">
        <f>I17/I16</f>
        <v>1.1945945945945946</v>
      </c>
      <c r="J34" s="3">
        <f>J17/J16</f>
        <v>0.95558739255014324</v>
      </c>
      <c r="K34" s="3">
        <f>K17/K16</f>
        <v>0.81167608286252357</v>
      </c>
      <c r="L34" s="3">
        <f>SUM(G17:K17)/SUM(G16:K16)</f>
        <v>0.87572333976302008</v>
      </c>
    </row>
    <row r="35" spans="1:17" x14ac:dyDescent="0.25">
      <c r="A35" s="179" t="s">
        <v>926</v>
      </c>
      <c r="G35" s="3"/>
      <c r="H35" s="3"/>
      <c r="I35" s="3"/>
      <c r="J35" s="3"/>
      <c r="K35" s="3"/>
    </row>
    <row r="36" spans="1:17" x14ac:dyDescent="0.25">
      <c r="A36" s="186" t="s">
        <v>779</v>
      </c>
      <c r="G36" s="3">
        <f>G19/G$28</f>
        <v>1.134185303514377</v>
      </c>
      <c r="H36" s="3">
        <f t="shared" ref="H36:K36" si="19">H19/H$28</f>
        <v>0.78731343283582089</v>
      </c>
      <c r="I36" s="3">
        <f t="shared" si="19"/>
        <v>1.4136986301369863</v>
      </c>
      <c r="J36" s="3">
        <f t="shared" si="19"/>
        <v>0.92337917485265231</v>
      </c>
      <c r="K36" s="3">
        <f t="shared" si="19"/>
        <v>0.78104575163398693</v>
      </c>
      <c r="L36" s="3">
        <f>SUM(G19:K19)/SUM($G$28:$K$28)</f>
        <v>1.0170357751277683</v>
      </c>
    </row>
    <row r="37" spans="1:17" x14ac:dyDescent="0.25">
      <c r="A37" s="186" t="s">
        <v>780</v>
      </c>
      <c r="G37" s="3">
        <f>G20/G$29</f>
        <v>1.0433212996389891</v>
      </c>
      <c r="H37" s="3">
        <f t="shared" ref="H37:K37" si="20">H20/H$29</f>
        <v>1.0339805825242718</v>
      </c>
      <c r="I37" s="3">
        <f t="shared" si="20"/>
        <v>0.77368421052631575</v>
      </c>
      <c r="J37" s="3">
        <f t="shared" si="20"/>
        <v>1.0423280423280423</v>
      </c>
      <c r="K37" s="3">
        <f t="shared" si="20"/>
        <v>0.85333333333333339</v>
      </c>
      <c r="L37" s="3">
        <f>SUM(G20:K20)/SUM($G$29:$K$29)</f>
        <v>0.95492180312787489</v>
      </c>
    </row>
    <row r="38" spans="1:17" x14ac:dyDescent="0.25">
      <c r="A38" s="179" t="s">
        <v>781</v>
      </c>
      <c r="G38" s="3"/>
      <c r="H38" s="3"/>
      <c r="I38" s="3"/>
      <c r="J38" s="3"/>
      <c r="K38" s="3"/>
    </row>
    <row r="39" spans="1:17" x14ac:dyDescent="0.25">
      <c r="A39" s="9" t="s">
        <v>782</v>
      </c>
      <c r="G39" s="3">
        <f>G22/G16</f>
        <v>0.27571115973741794</v>
      </c>
      <c r="H39" s="3">
        <f t="shared" ref="H39:K39" si="21">H22/H16</f>
        <v>0.10548523206751055</v>
      </c>
      <c r="I39" s="3">
        <f t="shared" si="21"/>
        <v>-0.19459459459459461</v>
      </c>
      <c r="J39" s="3">
        <f t="shared" si="21"/>
        <v>4.4412607449856735E-2</v>
      </c>
      <c r="K39" s="3">
        <f t="shared" si="21"/>
        <v>0.18832391713747645</v>
      </c>
      <c r="L39" s="3">
        <f>SUM(G22:K22)/SUM(G16:K16)</f>
        <v>0.12427666023697989</v>
      </c>
      <c r="O39" t="s">
        <v>282</v>
      </c>
      <c r="P39" t="s">
        <v>282</v>
      </c>
    </row>
    <row r="40" spans="1:17" x14ac:dyDescent="0.25">
      <c r="A40" s="179" t="s">
        <v>926</v>
      </c>
      <c r="G40" s="3"/>
      <c r="H40" s="3"/>
      <c r="I40" s="3"/>
      <c r="J40" s="3"/>
      <c r="K40" s="3"/>
    </row>
    <row r="41" spans="1:17" x14ac:dyDescent="0.25">
      <c r="A41" s="186" t="s">
        <v>779</v>
      </c>
      <c r="G41" s="3">
        <f>G24/G$28</f>
        <v>-0.13418530351437699</v>
      </c>
      <c r="H41" s="3">
        <f t="shared" ref="H41:K41" si="22">H24/H$28</f>
        <v>0.21268656716417911</v>
      </c>
      <c r="I41" s="3">
        <f t="shared" si="22"/>
        <v>-0.41369863013698632</v>
      </c>
      <c r="J41" s="3">
        <f t="shared" si="22"/>
        <v>7.6620825147347735E-2</v>
      </c>
      <c r="K41" s="3">
        <f t="shared" si="22"/>
        <v>0.21895424836601307</v>
      </c>
      <c r="L41" s="3">
        <f>SUM(G24:K24)/SUM($G$28:$K$28)</f>
        <v>-1.7035775127768313E-2</v>
      </c>
    </row>
    <row r="42" spans="1:17" x14ac:dyDescent="0.25">
      <c r="A42" s="186" t="s">
        <v>780</v>
      </c>
      <c r="G42" s="3">
        <f>G25/G$29</f>
        <v>-4.3321299638989168E-2</v>
      </c>
      <c r="H42" s="3">
        <f t="shared" ref="H42:K42" si="23">H25/H$29</f>
        <v>-3.3980582524271843E-2</v>
      </c>
      <c r="I42" s="3">
        <f t="shared" si="23"/>
        <v>0.22631578947368422</v>
      </c>
      <c r="J42" s="3">
        <f t="shared" si="23"/>
        <v>-4.2328042328042326E-2</v>
      </c>
      <c r="K42" s="3">
        <f t="shared" si="23"/>
        <v>0.14666666666666667</v>
      </c>
      <c r="L42" s="3">
        <f>SUM(G25:K25)/SUM($G$29:$K$29)</f>
        <v>4.5078196872125116E-2</v>
      </c>
    </row>
    <row r="43" spans="1:17" x14ac:dyDescent="0.25">
      <c r="A43" s="179" t="s">
        <v>781</v>
      </c>
      <c r="G43" s="3"/>
      <c r="H43" s="3"/>
      <c r="I43" s="3"/>
      <c r="J43" s="3"/>
      <c r="K43" s="3"/>
    </row>
    <row r="44" spans="1:17" x14ac:dyDescent="0.25">
      <c r="A44" s="179"/>
      <c r="G44" s="3"/>
      <c r="H44" s="3"/>
      <c r="I44" s="3"/>
      <c r="J44" s="3"/>
      <c r="K44" s="3"/>
    </row>
    <row r="45" spans="1:17" x14ac:dyDescent="0.25">
      <c r="A45" s="1" t="s">
        <v>800</v>
      </c>
    </row>
    <row r="46" spans="1:17" x14ac:dyDescent="0.25">
      <c r="B46" s="246"/>
      <c r="C46" s="246"/>
      <c r="D46" s="246"/>
      <c r="E46" s="246"/>
      <c r="F46" s="246"/>
      <c r="G46" s="178"/>
      <c r="H46" s="178"/>
      <c r="N46" s="9" t="s">
        <v>295</v>
      </c>
      <c r="O46">
        <v>2017</v>
      </c>
      <c r="P46">
        <v>2016</v>
      </c>
      <c r="Q46">
        <v>2015</v>
      </c>
    </row>
    <row r="47" spans="1:17" x14ac:dyDescent="0.25">
      <c r="A47" t="s">
        <v>295</v>
      </c>
      <c r="B47" s="246"/>
      <c r="C47" s="246"/>
      <c r="D47" s="246"/>
      <c r="E47" s="246"/>
      <c r="F47" s="246"/>
      <c r="G47" s="178">
        <v>2017</v>
      </c>
      <c r="H47" s="178">
        <v>2016</v>
      </c>
      <c r="I47" s="225">
        <v>2015</v>
      </c>
      <c r="J47" s="225">
        <v>2014</v>
      </c>
      <c r="N47" s="10" t="s">
        <v>476</v>
      </c>
      <c r="O47">
        <v>622</v>
      </c>
      <c r="P47">
        <v>430</v>
      </c>
      <c r="Q47">
        <v>732</v>
      </c>
    </row>
    <row r="48" spans="1:17" x14ac:dyDescent="0.25">
      <c r="A48" t="s">
        <v>799</v>
      </c>
      <c r="B48" s="246"/>
      <c r="C48" s="246"/>
      <c r="D48" s="246"/>
      <c r="E48" s="246"/>
      <c r="F48" s="246"/>
      <c r="G48" s="178">
        <f>SUBTOTAL(9,G49:G62)</f>
        <v>-85</v>
      </c>
      <c r="H48" s="178">
        <f>SUBTOTAL(9,H49:H62)</f>
        <v>344</v>
      </c>
      <c r="I48" s="225">
        <f t="shared" ref="I48:J48" si="24">SUBTOTAL(9,I49:I62)</f>
        <v>356</v>
      </c>
      <c r="J48" s="225">
        <f t="shared" si="24"/>
        <v>184</v>
      </c>
      <c r="N48" t="s">
        <v>477</v>
      </c>
      <c r="O48">
        <v>82</v>
      </c>
      <c r="P48">
        <v>68</v>
      </c>
      <c r="Q48">
        <v>65</v>
      </c>
    </row>
    <row r="49" spans="1:18" x14ac:dyDescent="0.25">
      <c r="A49" t="s">
        <v>796</v>
      </c>
      <c r="B49" s="246"/>
      <c r="C49" s="246"/>
      <c r="D49" s="246"/>
      <c r="E49" s="246"/>
      <c r="F49" s="246"/>
      <c r="G49" s="178">
        <f>SUBTOTAL(9,G50:G57)</f>
        <v>751</v>
      </c>
      <c r="H49" s="178">
        <f>SUBTOTAL(9,H50:H57)</f>
        <v>983</v>
      </c>
      <c r="I49" s="225">
        <f t="shared" ref="I49:J49" si="25">SUBTOTAL(9,I50:I57)</f>
        <v>927</v>
      </c>
      <c r="J49" s="225">
        <f t="shared" si="25"/>
        <v>901</v>
      </c>
      <c r="N49" t="s">
        <v>1057</v>
      </c>
      <c r="O49">
        <f>AVERAGE(O47:Q47)</f>
        <v>594.66666666666663</v>
      </c>
    </row>
    <row r="50" spans="1:18" x14ac:dyDescent="0.25">
      <c r="A50" s="9" t="s">
        <v>794</v>
      </c>
      <c r="B50" s="246"/>
      <c r="C50" s="246"/>
      <c r="D50" s="246"/>
      <c r="E50" s="246"/>
      <c r="F50" s="246"/>
      <c r="G50" s="178">
        <f>SUBTOTAL(9,G51:G56)</f>
        <v>1098</v>
      </c>
      <c r="H50" s="178">
        <f>SUBTOTAL(9,H51:H56)</f>
        <v>1290</v>
      </c>
      <c r="I50" s="225">
        <f t="shared" ref="I50:J50" si="26">SUBTOTAL(9,I51:I56)</f>
        <v>1136</v>
      </c>
      <c r="J50" s="225">
        <f t="shared" si="26"/>
        <v>1045</v>
      </c>
    </row>
    <row r="51" spans="1:18" x14ac:dyDescent="0.25">
      <c r="A51" s="179" t="s">
        <v>790</v>
      </c>
      <c r="B51" s="246"/>
      <c r="C51" s="246"/>
      <c r="D51" s="246"/>
      <c r="E51" s="246"/>
      <c r="F51" s="246"/>
      <c r="G51" s="178">
        <v>200</v>
      </c>
      <c r="H51" s="178">
        <v>159</v>
      </c>
      <c r="I51" s="225">
        <v>133</v>
      </c>
      <c r="J51" s="225">
        <v>124</v>
      </c>
    </row>
    <row r="52" spans="1:18" x14ac:dyDescent="0.25">
      <c r="A52" s="179" t="s">
        <v>791</v>
      </c>
      <c r="B52" s="246"/>
      <c r="C52" s="246"/>
      <c r="D52" s="246"/>
      <c r="E52" s="246"/>
      <c r="F52" s="246"/>
      <c r="G52" s="178">
        <v>159</v>
      </c>
      <c r="H52" s="178">
        <v>154</v>
      </c>
      <c r="I52" s="225">
        <v>103</v>
      </c>
      <c r="J52" s="225">
        <v>66</v>
      </c>
      <c r="O52">
        <f>G16-O47</f>
        <v>749</v>
      </c>
    </row>
    <row r="53" spans="1:18" x14ac:dyDescent="0.25">
      <c r="A53" s="179" t="s">
        <v>792</v>
      </c>
      <c r="B53" s="246"/>
      <c r="C53" s="246"/>
      <c r="D53" s="246"/>
      <c r="E53" s="246"/>
      <c r="F53" s="246"/>
      <c r="G53" s="178">
        <v>274</v>
      </c>
      <c r="H53" s="178">
        <v>401</v>
      </c>
      <c r="I53" s="225">
        <v>377</v>
      </c>
      <c r="J53" s="225">
        <v>367</v>
      </c>
    </row>
    <row r="54" spans="1:18" x14ac:dyDescent="0.25">
      <c r="A54" s="179" t="s">
        <v>793</v>
      </c>
      <c r="B54" s="246"/>
      <c r="C54" s="246"/>
      <c r="D54" s="246"/>
      <c r="E54" s="246"/>
      <c r="F54" s="246"/>
      <c r="G54" s="178">
        <v>300</v>
      </c>
      <c r="H54" s="178">
        <v>405</v>
      </c>
      <c r="I54" s="225">
        <v>369</v>
      </c>
      <c r="J54" s="225">
        <v>354</v>
      </c>
    </row>
    <row r="55" spans="1:18" x14ac:dyDescent="0.25">
      <c r="A55" s="179" t="s">
        <v>445</v>
      </c>
      <c r="B55" s="246"/>
      <c r="C55" s="246"/>
      <c r="D55" s="246"/>
      <c r="E55" s="246"/>
      <c r="F55" s="246"/>
      <c r="G55" s="178">
        <v>95</v>
      </c>
      <c r="H55" s="178">
        <v>107</v>
      </c>
      <c r="I55" s="225">
        <v>76</v>
      </c>
      <c r="J55" s="225">
        <v>89</v>
      </c>
    </row>
    <row r="56" spans="1:18" x14ac:dyDescent="0.25">
      <c r="A56" s="179" t="s">
        <v>568</v>
      </c>
      <c r="B56" s="246"/>
      <c r="C56" s="246"/>
      <c r="D56" s="246"/>
      <c r="E56" s="246"/>
      <c r="F56" s="246"/>
      <c r="G56" s="178">
        <v>70</v>
      </c>
      <c r="H56" s="178">
        <v>64</v>
      </c>
      <c r="I56" s="225">
        <v>78</v>
      </c>
      <c r="J56" s="225">
        <v>45</v>
      </c>
    </row>
    <row r="57" spans="1:18" x14ac:dyDescent="0.25">
      <c r="A57" s="9" t="s">
        <v>795</v>
      </c>
      <c r="B57" s="246"/>
      <c r="C57" s="246"/>
      <c r="D57" s="246"/>
      <c r="E57" s="246"/>
      <c r="F57" s="246"/>
      <c r="G57" s="178">
        <v>-347</v>
      </c>
      <c r="H57" s="178">
        <v>-307</v>
      </c>
      <c r="I57" s="225">
        <v>-209</v>
      </c>
      <c r="J57" s="225">
        <v>-144</v>
      </c>
    </row>
    <row r="58" spans="1:18" x14ac:dyDescent="0.25">
      <c r="A58" t="s">
        <v>797</v>
      </c>
      <c r="B58" s="246"/>
      <c r="C58" s="246"/>
      <c r="D58" s="246"/>
      <c r="E58" s="246"/>
      <c r="F58" s="246"/>
      <c r="G58" s="178">
        <f>SUBTOTAL(9,G59:G62)</f>
        <v>-836</v>
      </c>
      <c r="H58" s="178">
        <f>SUBTOTAL(9,H59:H62)</f>
        <v>-639</v>
      </c>
      <c r="I58" s="225">
        <f t="shared" ref="I58:J58" si="27">SUBTOTAL(9,I59:I62)</f>
        <v>-571</v>
      </c>
      <c r="J58" s="225">
        <f t="shared" si="27"/>
        <v>-717</v>
      </c>
    </row>
    <row r="59" spans="1:18" x14ac:dyDescent="0.25">
      <c r="A59" s="9" t="s">
        <v>798</v>
      </c>
      <c r="B59" s="246"/>
      <c r="C59" s="246"/>
      <c r="D59" s="246"/>
      <c r="E59" s="246"/>
      <c r="F59" s="246"/>
      <c r="G59" s="178">
        <v>-250</v>
      </c>
      <c r="H59" s="178">
        <v>-319</v>
      </c>
      <c r="I59" s="225">
        <v>-269</v>
      </c>
      <c r="J59" s="225">
        <v>-329</v>
      </c>
    </row>
    <row r="60" spans="1:18" x14ac:dyDescent="0.25">
      <c r="A60" s="9" t="s">
        <v>812</v>
      </c>
      <c r="B60" s="246"/>
      <c r="C60" s="246"/>
      <c r="D60" s="246"/>
      <c r="E60" s="246"/>
      <c r="F60" s="246"/>
      <c r="G60" s="178">
        <v>-331</v>
      </c>
      <c r="H60" s="178">
        <v>-59</v>
      </c>
      <c r="I60" s="225">
        <v>-69</v>
      </c>
      <c r="J60" s="225">
        <v>-204</v>
      </c>
    </row>
    <row r="61" spans="1:18" x14ac:dyDescent="0.25">
      <c r="A61" s="9" t="s">
        <v>792</v>
      </c>
      <c r="B61" s="246"/>
      <c r="C61" s="246"/>
      <c r="D61" s="246"/>
      <c r="E61" s="246"/>
      <c r="F61" s="246"/>
      <c r="G61" s="178">
        <v>-224</v>
      </c>
      <c r="H61" s="178">
        <v>-213</v>
      </c>
      <c r="I61" s="225">
        <v>-212</v>
      </c>
      <c r="J61" s="225">
        <v>-161</v>
      </c>
      <c r="Q61" t="s">
        <v>282</v>
      </c>
    </row>
    <row r="62" spans="1:18" x14ac:dyDescent="0.25">
      <c r="A62" s="9" t="s">
        <v>568</v>
      </c>
      <c r="B62" s="246"/>
      <c r="C62" s="246"/>
      <c r="D62" s="246"/>
      <c r="E62" s="246"/>
      <c r="F62" s="246"/>
      <c r="G62" s="178">
        <v>-31</v>
      </c>
      <c r="H62" s="178">
        <v>-48</v>
      </c>
      <c r="I62" s="225">
        <v>-21</v>
      </c>
      <c r="J62" s="225">
        <v>-23</v>
      </c>
    </row>
    <row r="64" spans="1:18" x14ac:dyDescent="0.25">
      <c r="Q64" t="s">
        <v>282</v>
      </c>
      <c r="R64" t="s">
        <v>282</v>
      </c>
    </row>
    <row r="65" spans="1:18" x14ac:dyDescent="0.25">
      <c r="A65" s="10" t="s">
        <v>813</v>
      </c>
    </row>
    <row r="66" spans="1:18" x14ac:dyDescent="0.25">
      <c r="A66" t="s">
        <v>282</v>
      </c>
      <c r="G66" t="s">
        <v>282</v>
      </c>
      <c r="H66" t="s">
        <v>282</v>
      </c>
      <c r="I66" t="s">
        <v>282</v>
      </c>
      <c r="J66" t="s">
        <v>282</v>
      </c>
      <c r="K66" t="s">
        <v>282</v>
      </c>
    </row>
    <row r="67" spans="1:18" x14ac:dyDescent="0.25">
      <c r="A67" t="s">
        <v>282</v>
      </c>
      <c r="G67" t="s">
        <v>384</v>
      </c>
    </row>
    <row r="68" spans="1:18" x14ac:dyDescent="0.25">
      <c r="A68" t="s">
        <v>295</v>
      </c>
      <c r="B68" s="246"/>
      <c r="C68" s="246"/>
      <c r="D68" s="246"/>
      <c r="E68" s="246"/>
      <c r="F68" s="246"/>
      <c r="G68" s="225">
        <v>2017</v>
      </c>
      <c r="H68" s="225">
        <v>2016</v>
      </c>
      <c r="I68" s="225">
        <v>2015</v>
      </c>
      <c r="J68" s="225">
        <v>2014</v>
      </c>
    </row>
    <row r="69" spans="1:18" x14ac:dyDescent="0.25">
      <c r="B69" s="246"/>
      <c r="C69" s="246"/>
      <c r="D69" s="246"/>
      <c r="E69" s="246"/>
      <c r="F69" s="246"/>
      <c r="G69" s="225">
        <f>SUBTOTAL(9,G70:G75)</f>
        <v>464</v>
      </c>
      <c r="H69" s="225">
        <f t="shared" ref="H69:J69" si="28">SUBTOTAL(9,H70:H75)</f>
        <v>634</v>
      </c>
      <c r="I69" s="225">
        <f t="shared" si="28"/>
        <v>584</v>
      </c>
      <c r="J69" s="225">
        <f t="shared" si="28"/>
        <v>508</v>
      </c>
      <c r="Q69" t="s">
        <v>282</v>
      </c>
      <c r="R69" t="s">
        <v>282</v>
      </c>
    </row>
    <row r="70" spans="1:18" x14ac:dyDescent="0.25">
      <c r="A70" t="s">
        <v>801</v>
      </c>
      <c r="B70" s="246"/>
      <c r="C70" s="246"/>
      <c r="D70" s="246"/>
      <c r="E70" s="246"/>
      <c r="F70" s="246"/>
      <c r="G70" s="225">
        <f>SUBTOTAL(9,G71:G72)</f>
        <v>152</v>
      </c>
      <c r="H70" s="225">
        <f t="shared" ref="H70:J70" si="29">SUBTOTAL(9,H71:H72)</f>
        <v>192</v>
      </c>
      <c r="I70" s="225">
        <f t="shared" si="29"/>
        <v>176</v>
      </c>
      <c r="J70" s="225">
        <f t="shared" si="29"/>
        <v>444</v>
      </c>
    </row>
    <row r="71" spans="1:18" x14ac:dyDescent="0.25">
      <c r="A71" s="9" t="s">
        <v>802</v>
      </c>
      <c r="B71" s="246"/>
      <c r="C71" s="246"/>
      <c r="D71" s="246"/>
      <c r="E71" s="246"/>
      <c r="F71" s="246"/>
      <c r="G71" s="225">
        <v>152</v>
      </c>
      <c r="H71" s="225">
        <v>192</v>
      </c>
      <c r="I71" s="225">
        <v>176</v>
      </c>
      <c r="J71" s="225">
        <v>170</v>
      </c>
    </row>
    <row r="72" spans="1:18" x14ac:dyDescent="0.25">
      <c r="A72" s="9" t="s">
        <v>924</v>
      </c>
      <c r="B72" s="246"/>
      <c r="C72" s="246"/>
      <c r="D72" s="246"/>
      <c r="E72" s="246"/>
      <c r="F72" s="246"/>
      <c r="G72" s="225"/>
      <c r="H72" s="225"/>
      <c r="I72" s="225">
        <v>0</v>
      </c>
      <c r="J72" s="225">
        <v>274</v>
      </c>
    </row>
    <row r="73" spans="1:18" x14ac:dyDescent="0.25">
      <c r="A73" t="s">
        <v>421</v>
      </c>
      <c r="B73" s="246"/>
      <c r="C73" s="246"/>
      <c r="D73" s="246"/>
      <c r="E73" s="246"/>
      <c r="F73" s="246"/>
      <c r="G73" s="225">
        <f>SUBTOTAL(9,G74:G75)</f>
        <v>312</v>
      </c>
      <c r="H73" s="225">
        <f t="shared" ref="H73" si="30">SUBTOTAL(9,H74:H75)</f>
        <v>442</v>
      </c>
      <c r="I73" s="225">
        <f t="shared" ref="I73" si="31">SUBTOTAL(9,I74:I75)</f>
        <v>408</v>
      </c>
      <c r="J73" s="225">
        <f t="shared" ref="J73" si="32">SUBTOTAL(9,J74:J75)</f>
        <v>64</v>
      </c>
    </row>
    <row r="74" spans="1:18" x14ac:dyDescent="0.25">
      <c r="A74" s="9" t="s">
        <v>803</v>
      </c>
      <c r="B74" s="246"/>
      <c r="C74" s="246"/>
      <c r="D74" s="246"/>
      <c r="E74" s="246"/>
      <c r="F74" s="246"/>
      <c r="G74" s="225">
        <v>306</v>
      </c>
      <c r="H74" s="225">
        <v>420</v>
      </c>
      <c r="I74" s="225">
        <v>390</v>
      </c>
      <c r="J74" s="225">
        <v>40</v>
      </c>
    </row>
    <row r="75" spans="1:18" x14ac:dyDescent="0.25">
      <c r="A75" s="9" t="s">
        <v>804</v>
      </c>
      <c r="B75" s="246"/>
      <c r="C75" s="246"/>
      <c r="D75" s="246"/>
      <c r="E75" s="246"/>
      <c r="F75" s="246"/>
      <c r="G75" s="225">
        <v>6</v>
      </c>
      <c r="H75" s="225">
        <v>22</v>
      </c>
      <c r="I75" s="225">
        <v>18</v>
      </c>
      <c r="J75" s="225">
        <v>24</v>
      </c>
    </row>
    <row r="76" spans="1:18" x14ac:dyDescent="0.25">
      <c r="A76" s="9"/>
      <c r="B76" s="246"/>
      <c r="C76" s="246"/>
      <c r="D76" s="246"/>
      <c r="E76" s="246"/>
      <c r="F76" s="246"/>
      <c r="G76" s="225"/>
      <c r="H76" s="225"/>
      <c r="I76" s="225"/>
      <c r="J76" s="225"/>
    </row>
    <row r="77" spans="1:18" x14ac:dyDescent="0.25">
      <c r="A77" s="9"/>
      <c r="B77" s="246"/>
      <c r="C77" s="246"/>
      <c r="D77" s="246"/>
      <c r="E77" s="246"/>
      <c r="F77" s="246"/>
      <c r="G77" s="225">
        <f>SUBTOTAL(9,G78:G83)</f>
        <v>749</v>
      </c>
      <c r="H77" s="225">
        <f t="shared" ref="H77" si="33">SUBTOTAL(9,H78:H83)</f>
        <v>124</v>
      </c>
      <c r="I77" s="225">
        <f t="shared" ref="I77" si="34">SUBTOTAL(9,I78:I83)</f>
        <v>34</v>
      </c>
      <c r="J77" s="225">
        <f t="shared" ref="J77" si="35">SUBTOTAL(9,J78:J83)</f>
        <v>130</v>
      </c>
    </row>
    <row r="78" spans="1:18" x14ac:dyDescent="0.25">
      <c r="A78" t="s">
        <v>445</v>
      </c>
      <c r="B78" s="246"/>
      <c r="C78" s="246"/>
      <c r="D78" s="246"/>
      <c r="E78" s="246"/>
      <c r="F78" s="246"/>
      <c r="G78" s="225">
        <f>SUBTOTAL(9,G79)</f>
        <v>77</v>
      </c>
      <c r="H78" s="225">
        <f t="shared" ref="H78:J78" si="36">SUBTOTAL(9,H79)</f>
        <v>48</v>
      </c>
      <c r="I78" s="225">
        <f t="shared" si="36"/>
        <v>0</v>
      </c>
      <c r="J78" s="225">
        <f t="shared" si="36"/>
        <v>0</v>
      </c>
    </row>
    <row r="79" spans="1:18" x14ac:dyDescent="0.25">
      <c r="A79" s="9" t="s">
        <v>805</v>
      </c>
      <c r="B79" s="246"/>
      <c r="C79" s="246"/>
      <c r="D79" s="246"/>
      <c r="E79" s="246"/>
      <c r="F79" s="246"/>
      <c r="G79" s="225">
        <v>77</v>
      </c>
      <c r="H79" s="225">
        <v>48</v>
      </c>
      <c r="I79" s="225"/>
      <c r="J79" s="225"/>
    </row>
    <row r="80" spans="1:18" x14ac:dyDescent="0.25">
      <c r="A80" t="s">
        <v>689</v>
      </c>
      <c r="B80" s="246"/>
      <c r="C80" s="246"/>
      <c r="D80" s="246"/>
      <c r="E80" s="246"/>
      <c r="F80" s="246"/>
      <c r="G80" s="225">
        <f>SUBTOTAL(9,G81:G82)</f>
        <v>672</v>
      </c>
      <c r="H80" s="225">
        <f t="shared" ref="H80" si="37">SUBTOTAL(9,H81:H82)</f>
        <v>76</v>
      </c>
      <c r="I80" s="225">
        <f t="shared" ref="I80" si="38">SUBTOTAL(9,I81:I82)</f>
        <v>34</v>
      </c>
      <c r="J80" s="225">
        <f t="shared" ref="J80" si="39">SUBTOTAL(9,J81:J82)</f>
        <v>130</v>
      </c>
    </row>
    <row r="81" spans="1:14" x14ac:dyDescent="0.25">
      <c r="A81" s="9" t="s">
        <v>805</v>
      </c>
      <c r="B81" s="246"/>
      <c r="C81" s="246"/>
      <c r="D81" s="246"/>
      <c r="E81" s="246"/>
      <c r="F81" s="246"/>
      <c r="G81" s="225">
        <v>281</v>
      </c>
      <c r="H81" s="225">
        <v>0</v>
      </c>
      <c r="I81" s="225">
        <v>0</v>
      </c>
      <c r="J81" s="225">
        <v>0</v>
      </c>
    </row>
    <row r="82" spans="1:14" x14ac:dyDescent="0.25">
      <c r="A82" s="9" t="s">
        <v>806</v>
      </c>
      <c r="B82" s="246"/>
      <c r="C82" s="246"/>
      <c r="D82" s="246"/>
      <c r="E82" s="246"/>
      <c r="F82" s="246"/>
      <c r="G82" s="225">
        <v>391</v>
      </c>
      <c r="H82" s="225">
        <v>76</v>
      </c>
      <c r="I82" s="225">
        <v>34</v>
      </c>
      <c r="J82" s="225">
        <v>130</v>
      </c>
    </row>
    <row r="84" spans="1:14" x14ac:dyDescent="0.25">
      <c r="A84" t="s">
        <v>282</v>
      </c>
      <c r="G84" t="s">
        <v>384</v>
      </c>
    </row>
    <row r="85" spans="1:14" x14ac:dyDescent="0.25">
      <c r="A85" t="s">
        <v>295</v>
      </c>
      <c r="B85" s="246"/>
      <c r="C85" s="246"/>
      <c r="D85" s="246"/>
      <c r="E85" s="246"/>
      <c r="F85" s="246"/>
      <c r="G85" s="225">
        <v>2017</v>
      </c>
      <c r="H85" s="225">
        <v>2016</v>
      </c>
      <c r="I85" s="225">
        <v>2015</v>
      </c>
      <c r="J85" s="225">
        <v>2014</v>
      </c>
      <c r="K85" s="225">
        <v>2013</v>
      </c>
    </row>
    <row r="86" spans="1:14" x14ac:dyDescent="0.25">
      <c r="B86" s="246"/>
      <c r="C86" s="246"/>
      <c r="D86" s="246"/>
      <c r="E86" s="246"/>
      <c r="F86" s="246"/>
      <c r="G86" s="225"/>
      <c r="H86" s="225"/>
      <c r="I86" s="225"/>
      <c r="J86" s="225"/>
      <c r="K86" s="225"/>
    </row>
    <row r="87" spans="1:14" x14ac:dyDescent="0.25">
      <c r="A87" t="s">
        <v>807</v>
      </c>
      <c r="B87" s="246"/>
      <c r="C87" s="246"/>
      <c r="D87" s="246"/>
      <c r="E87" s="246"/>
      <c r="F87" s="246"/>
      <c r="G87" s="225">
        <f>H93</f>
        <v>59</v>
      </c>
      <c r="H87" s="225">
        <f>I93</f>
        <v>135</v>
      </c>
      <c r="I87" s="225">
        <f t="shared" ref="I87:J87" si="40">J93</f>
        <v>174</v>
      </c>
      <c r="J87" s="225">
        <f t="shared" si="40"/>
        <v>169</v>
      </c>
      <c r="K87" s="225">
        <v>145</v>
      </c>
    </row>
    <row r="88" spans="1:14" x14ac:dyDescent="0.25">
      <c r="A88" s="9" t="s">
        <v>808</v>
      </c>
      <c r="B88" s="246"/>
      <c r="C88" s="246"/>
      <c r="D88" s="246"/>
      <c r="E88" s="246"/>
      <c r="F88" s="246"/>
      <c r="G88" s="225">
        <v>11</v>
      </c>
      <c r="H88" s="225">
        <v>10</v>
      </c>
      <c r="I88" s="225">
        <v>8</v>
      </c>
      <c r="J88" s="225">
        <v>8</v>
      </c>
      <c r="K88" s="225">
        <v>10</v>
      </c>
    </row>
    <row r="89" spans="1:14" x14ac:dyDescent="0.25">
      <c r="A89" s="9" t="s">
        <v>809</v>
      </c>
      <c r="B89" s="246"/>
      <c r="C89" s="246"/>
      <c r="D89" s="246"/>
      <c r="E89" s="246"/>
      <c r="F89" s="246"/>
      <c r="G89" s="225">
        <v>9</v>
      </c>
      <c r="H89" s="225">
        <v>18</v>
      </c>
      <c r="I89" s="225">
        <v>24</v>
      </c>
      <c r="J89" s="225">
        <v>5</v>
      </c>
      <c r="K89" s="225">
        <v>21</v>
      </c>
    </row>
    <row r="90" spans="1:14" x14ac:dyDescent="0.25">
      <c r="A90" s="9" t="s">
        <v>810</v>
      </c>
      <c r="B90" s="246"/>
      <c r="C90" s="246"/>
      <c r="D90" s="246"/>
      <c r="E90" s="246"/>
      <c r="F90" s="246"/>
      <c r="G90" s="225">
        <v>-3</v>
      </c>
      <c r="H90" s="225">
        <v>0</v>
      </c>
      <c r="I90" s="225">
        <v>0</v>
      </c>
      <c r="J90" s="225">
        <v>-2</v>
      </c>
      <c r="K90" s="225">
        <v>-6</v>
      </c>
    </row>
    <row r="91" spans="1:14" x14ac:dyDescent="0.25">
      <c r="A91" s="9" t="s">
        <v>814</v>
      </c>
      <c r="B91" s="246"/>
      <c r="C91" s="246"/>
      <c r="D91" s="246"/>
      <c r="E91" s="246"/>
      <c r="F91" s="246"/>
      <c r="G91" s="225">
        <v>-35</v>
      </c>
      <c r="H91" s="225">
        <v>-104</v>
      </c>
      <c r="I91" s="225">
        <v>-71</v>
      </c>
      <c r="J91" s="225">
        <v>-5</v>
      </c>
      <c r="K91" s="225">
        <v>0</v>
      </c>
    </row>
    <row r="92" spans="1:14" x14ac:dyDescent="0.25">
      <c r="A92" s="9" t="s">
        <v>925</v>
      </c>
      <c r="B92" s="246"/>
      <c r="C92" s="246"/>
      <c r="D92" s="246"/>
      <c r="E92" s="246"/>
      <c r="F92" s="246"/>
      <c r="G92" s="225">
        <v>0</v>
      </c>
      <c r="H92" s="225">
        <v>0</v>
      </c>
      <c r="I92" s="225">
        <v>0</v>
      </c>
      <c r="J92" s="225">
        <v>-1</v>
      </c>
      <c r="K92" s="225">
        <v>-1</v>
      </c>
      <c r="N92" s="9"/>
    </row>
    <row r="93" spans="1:14" x14ac:dyDescent="0.25">
      <c r="A93" t="s">
        <v>811</v>
      </c>
      <c r="B93" s="246"/>
      <c r="C93" s="246"/>
      <c r="D93" s="246"/>
      <c r="E93" s="246"/>
      <c r="F93" s="246"/>
      <c r="G93" s="225">
        <f>SUM(G87:G92)</f>
        <v>41</v>
      </c>
      <c r="H93" s="225">
        <f>SUM(H87:H92)</f>
        <v>59</v>
      </c>
      <c r="I93" s="225">
        <f>SUM(I87:I92)</f>
        <v>135</v>
      </c>
      <c r="J93" s="225">
        <f>SUM(J87:J92)</f>
        <v>174</v>
      </c>
      <c r="K93" s="225">
        <f>SUM(K87:K92)</f>
        <v>169</v>
      </c>
      <c r="N93" s="9"/>
    </row>
    <row r="94" spans="1:14" x14ac:dyDescent="0.25">
      <c r="N94" s="9"/>
    </row>
    <row r="95" spans="1:14" x14ac:dyDescent="0.25">
      <c r="N95" s="9"/>
    </row>
    <row r="96" spans="1:14" x14ac:dyDescent="0.25">
      <c r="N96" s="9"/>
    </row>
    <row r="97" spans="1:2" x14ac:dyDescent="0.25">
      <c r="A97" s="6" t="s">
        <v>294</v>
      </c>
    </row>
    <row r="98" spans="1:2" x14ac:dyDescent="0.25">
      <c r="A98" s="85" t="s">
        <v>295</v>
      </c>
      <c r="B98" s="76"/>
    </row>
    <row r="99" spans="1:2" x14ac:dyDescent="0.25">
      <c r="A99" s="81" t="s">
        <v>318</v>
      </c>
      <c r="B99" s="6">
        <f>SUBTOTAL(9,B100:B101)</f>
        <v>781</v>
      </c>
    </row>
    <row r="100" spans="1:2" x14ac:dyDescent="0.25">
      <c r="A100" s="9" t="s">
        <v>778</v>
      </c>
      <c r="B100">
        <f>G21</f>
        <v>349</v>
      </c>
    </row>
    <row r="101" spans="1:2" x14ac:dyDescent="0.25">
      <c r="A101" s="9" t="s">
        <v>782</v>
      </c>
      <c r="B101">
        <f>G26</f>
        <v>432</v>
      </c>
    </row>
    <row r="102" spans="1:2" x14ac:dyDescent="0.25">
      <c r="A102" s="81" t="s">
        <v>320</v>
      </c>
      <c r="B102" s="6">
        <v>39</v>
      </c>
    </row>
    <row r="103" spans="1:2" x14ac:dyDescent="0.25">
      <c r="A103" s="179" t="s">
        <v>921</v>
      </c>
      <c r="B103">
        <f>SUBTOTAL(9,B99:B102)</f>
        <v>820</v>
      </c>
    </row>
    <row r="104" spans="1:2" x14ac:dyDescent="0.25">
      <c r="A104" s="81" t="s">
        <v>321</v>
      </c>
      <c r="B104" s="6">
        <v>-43</v>
      </c>
    </row>
    <row r="105" spans="1:2" x14ac:dyDescent="0.25">
      <c r="A105" s="86" t="s">
        <v>319</v>
      </c>
      <c r="B105" s="6">
        <v>777</v>
      </c>
    </row>
  </sheetData>
  <pageMargins left="0.7" right="0.7" top="0.75" bottom="0.75" header="0.3" footer="0.3"/>
  <pageSetup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851F7D-2D46-4F3A-B97A-C91A8899204C}">
  <sheetPr codeName="Sheet20">
    <tabColor theme="8" tint="0.39997558519241921"/>
  </sheetPr>
  <dimension ref="A3:T68"/>
  <sheetViews>
    <sheetView workbookViewId="0">
      <selection activeCell="F6" sqref="F6"/>
    </sheetView>
  </sheetViews>
  <sheetFormatPr defaultRowHeight="15" x14ac:dyDescent="0.25"/>
  <cols>
    <col min="1" max="1" width="63.28515625" bestFit="1" customWidth="1"/>
    <col min="13" max="13" width="16.42578125" bestFit="1" customWidth="1"/>
    <col min="14" max="14" width="22.42578125" customWidth="1"/>
    <col min="20" max="20" width="32.7109375" bestFit="1" customWidth="1"/>
  </cols>
  <sheetData>
    <row r="3" spans="1:20" x14ac:dyDescent="0.25">
      <c r="A3" t="s">
        <v>817</v>
      </c>
      <c r="B3" s="2"/>
      <c r="C3" s="2"/>
      <c r="D3" s="2"/>
      <c r="K3" t="s">
        <v>1028</v>
      </c>
      <c r="M3" t="s">
        <v>1025</v>
      </c>
      <c r="N3" t="s">
        <v>886</v>
      </c>
    </row>
    <row r="4" spans="1:20" x14ac:dyDescent="0.25">
      <c r="A4" t="s">
        <v>820</v>
      </c>
      <c r="B4" s="250">
        <v>2022</v>
      </c>
      <c r="C4" s="250">
        <v>2021</v>
      </c>
      <c r="D4" s="250">
        <v>2020</v>
      </c>
      <c r="E4" s="250">
        <v>2019</v>
      </c>
      <c r="F4" s="250">
        <v>2018</v>
      </c>
      <c r="G4" s="250">
        <v>2017</v>
      </c>
      <c r="H4" s="250">
        <v>2016</v>
      </c>
      <c r="I4" s="225">
        <v>2015</v>
      </c>
      <c r="J4" s="225">
        <v>2014</v>
      </c>
    </row>
    <row r="5" spans="1:20" x14ac:dyDescent="0.25">
      <c r="A5" s="184" t="s">
        <v>637</v>
      </c>
      <c r="B5" s="185">
        <f t="shared" ref="B5:E5" si="0">SUBTOTAL(9,B6:B12)</f>
        <v>1336.9</v>
      </c>
      <c r="C5" s="185">
        <f t="shared" si="0"/>
        <v>1287.2999999999995</v>
      </c>
      <c r="D5" s="185">
        <f t="shared" si="0"/>
        <v>1237.7000000000005</v>
      </c>
      <c r="E5" s="185">
        <f t="shared" si="0"/>
        <v>1188.0999999999999</v>
      </c>
      <c r="F5" s="185">
        <f>SUBTOTAL(9,F6:F12)</f>
        <v>1138.5</v>
      </c>
      <c r="G5" s="185">
        <f>SUBTOTAL(9,G6:G12)</f>
        <v>1156</v>
      </c>
      <c r="H5" s="185">
        <f>SUBTOTAL(9,H6:H12)</f>
        <v>946</v>
      </c>
      <c r="I5" s="185">
        <f t="shared" ref="I5:J5" si="1">SUBTOTAL(9,I6:I12)</f>
        <v>975</v>
      </c>
      <c r="J5" s="185">
        <f t="shared" si="1"/>
        <v>981</v>
      </c>
    </row>
    <row r="6" spans="1:20" x14ac:dyDescent="0.25">
      <c r="A6" s="141" t="s">
        <v>650</v>
      </c>
      <c r="B6">
        <f t="shared" ref="B6:F12" si="2">$K6*B$4+$L6</f>
        <v>369.59999999999854</v>
      </c>
      <c r="C6">
        <f t="shared" si="2"/>
        <v>338.69999999999709</v>
      </c>
      <c r="D6">
        <f t="shared" si="2"/>
        <v>307.80000000000291</v>
      </c>
      <c r="E6">
        <f t="shared" si="2"/>
        <v>276.90000000000146</v>
      </c>
      <c r="F6">
        <f>$K6*F$4+$L6</f>
        <v>246</v>
      </c>
      <c r="G6" s="119">
        <v>223</v>
      </c>
      <c r="H6" s="119">
        <v>163</v>
      </c>
      <c r="I6" s="103">
        <v>172</v>
      </c>
      <c r="J6" s="225">
        <v>117</v>
      </c>
      <c r="K6">
        <f>SLOPE(G6:J6, $G$4:$J$4)</f>
        <v>30.9</v>
      </c>
      <c r="L6">
        <f>INTERCEPT(G6:J6, $G$4:$J$4)</f>
        <v>-62110.2</v>
      </c>
      <c r="M6" t="s">
        <v>1020</v>
      </c>
      <c r="S6" s="225"/>
      <c r="T6" s="128"/>
    </row>
    <row r="7" spans="1:20" x14ac:dyDescent="0.25">
      <c r="A7" s="141" t="s">
        <v>651</v>
      </c>
      <c r="B7">
        <f t="shared" si="2"/>
        <v>317.90000000000146</v>
      </c>
      <c r="C7">
        <f t="shared" si="2"/>
        <v>297.80000000000291</v>
      </c>
      <c r="D7">
        <f t="shared" si="2"/>
        <v>277.69999999999709</v>
      </c>
      <c r="E7">
        <f t="shared" si="2"/>
        <v>257.59999999999854</v>
      </c>
      <c r="F7">
        <f t="shared" si="2"/>
        <v>237.5</v>
      </c>
      <c r="G7" s="119">
        <v>219</v>
      </c>
      <c r="H7" s="119">
        <v>197</v>
      </c>
      <c r="I7" s="103">
        <v>173</v>
      </c>
      <c r="J7" s="225">
        <v>160</v>
      </c>
      <c r="K7">
        <f>SLOPE(G7:J7, $G$4:$J$4)</f>
        <v>20.100000000000001</v>
      </c>
      <c r="L7">
        <f t="shared" ref="L7:L12" si="3">INTERCEPT(G7:J7, $G$4:$J$4)</f>
        <v>-40324.300000000003</v>
      </c>
      <c r="M7" t="s">
        <v>1020</v>
      </c>
      <c r="S7" s="225"/>
      <c r="T7" s="10"/>
    </row>
    <row r="8" spans="1:20" x14ac:dyDescent="0.25">
      <c r="A8" s="141" t="s">
        <v>652</v>
      </c>
      <c r="B8">
        <f t="shared" si="2"/>
        <v>142.69999999999982</v>
      </c>
      <c r="C8">
        <f t="shared" si="2"/>
        <v>140.39999999999964</v>
      </c>
      <c r="D8">
        <f t="shared" si="2"/>
        <v>138.10000000000036</v>
      </c>
      <c r="E8">
        <f t="shared" si="2"/>
        <v>135.80000000000018</v>
      </c>
      <c r="F8">
        <f t="shared" si="2"/>
        <v>133.5</v>
      </c>
      <c r="G8" s="119">
        <v>146</v>
      </c>
      <c r="H8" s="119">
        <v>111</v>
      </c>
      <c r="I8" s="103">
        <v>118</v>
      </c>
      <c r="J8" s="225">
        <v>136</v>
      </c>
      <c r="K8">
        <f>SLOPE(G8:J8, $G$4:$J$4)</f>
        <v>2.2999999999999998</v>
      </c>
      <c r="L8">
        <f t="shared" si="3"/>
        <v>-4507.8999999999996</v>
      </c>
      <c r="M8" t="s">
        <v>1020</v>
      </c>
      <c r="N8" t="s">
        <v>1026</v>
      </c>
      <c r="S8" s="225"/>
      <c r="T8" s="10"/>
    </row>
    <row r="9" spans="1:20" x14ac:dyDescent="0.25">
      <c r="A9" s="141" t="s">
        <v>653</v>
      </c>
      <c r="B9">
        <f t="shared" si="2"/>
        <v>94.300000000000182</v>
      </c>
      <c r="C9">
        <f t="shared" si="2"/>
        <v>92.100000000000364</v>
      </c>
      <c r="D9">
        <f t="shared" si="2"/>
        <v>89.899999999999636</v>
      </c>
      <c r="E9">
        <f t="shared" si="2"/>
        <v>87.699999999999818</v>
      </c>
      <c r="F9">
        <f t="shared" si="2"/>
        <v>85.5</v>
      </c>
      <c r="G9" s="119">
        <v>87</v>
      </c>
      <c r="H9" s="119">
        <v>82</v>
      </c>
      <c r="I9" s="103">
        <v>66</v>
      </c>
      <c r="J9" s="225">
        <v>85</v>
      </c>
      <c r="K9">
        <f t="shared" ref="K9:K12" si="4">SLOPE(G9:J9, $G$4:$J$4)</f>
        <v>2.2000000000000002</v>
      </c>
      <c r="L9">
        <f t="shared" si="3"/>
        <v>-4354.1000000000004</v>
      </c>
      <c r="M9" t="s">
        <v>1020</v>
      </c>
      <c r="S9" s="225"/>
      <c r="T9" s="10"/>
    </row>
    <row r="10" spans="1:20" x14ac:dyDescent="0.25">
      <c r="A10" s="141" t="s">
        <v>654</v>
      </c>
      <c r="B10">
        <f t="shared" si="2"/>
        <v>62.100000000000364</v>
      </c>
      <c r="C10">
        <f t="shared" si="2"/>
        <v>65.199999999999818</v>
      </c>
      <c r="D10">
        <f t="shared" si="2"/>
        <v>68.300000000000182</v>
      </c>
      <c r="E10">
        <f t="shared" si="2"/>
        <v>71.399999999999636</v>
      </c>
      <c r="F10">
        <f t="shared" si="2"/>
        <v>74.5</v>
      </c>
      <c r="G10" s="119">
        <v>84</v>
      </c>
      <c r="H10" s="119">
        <v>73</v>
      </c>
      <c r="I10" s="103">
        <v>80</v>
      </c>
      <c r="J10" s="225">
        <v>92</v>
      </c>
      <c r="K10">
        <f t="shared" si="4"/>
        <v>-3.1</v>
      </c>
      <c r="L10">
        <f t="shared" si="3"/>
        <v>6330.3</v>
      </c>
      <c r="M10" t="s">
        <v>1020</v>
      </c>
      <c r="S10" s="225"/>
      <c r="T10" s="10"/>
    </row>
    <row r="11" spans="1:20" x14ac:dyDescent="0.25">
      <c r="A11" s="141" t="s">
        <v>655</v>
      </c>
      <c r="B11">
        <f t="shared" si="2"/>
        <v>65.599999999999909</v>
      </c>
      <c r="C11">
        <f t="shared" si="2"/>
        <v>64.700000000000045</v>
      </c>
      <c r="D11">
        <f t="shared" si="2"/>
        <v>63.799999999999955</v>
      </c>
      <c r="E11">
        <f t="shared" si="2"/>
        <v>62.900000000000091</v>
      </c>
      <c r="F11">
        <f t="shared" si="2"/>
        <v>62</v>
      </c>
      <c r="G11" s="119">
        <v>59</v>
      </c>
      <c r="H11" s="119">
        <v>63</v>
      </c>
      <c r="I11" s="103">
        <v>60</v>
      </c>
      <c r="J11" s="225">
        <v>57</v>
      </c>
      <c r="K11">
        <f t="shared" si="4"/>
        <v>0.9</v>
      </c>
      <c r="L11">
        <f t="shared" si="3"/>
        <v>-1754.2</v>
      </c>
      <c r="M11" t="s">
        <v>1020</v>
      </c>
      <c r="S11" s="225"/>
      <c r="T11" s="10"/>
    </row>
    <row r="12" spans="1:20" x14ac:dyDescent="0.25">
      <c r="A12" s="141" t="s">
        <v>568</v>
      </c>
      <c r="B12">
        <f t="shared" si="2"/>
        <v>284.69999999999982</v>
      </c>
      <c r="C12">
        <f t="shared" si="2"/>
        <v>288.39999999999964</v>
      </c>
      <c r="D12">
        <f t="shared" si="2"/>
        <v>292.10000000000036</v>
      </c>
      <c r="E12">
        <f t="shared" si="2"/>
        <v>295.80000000000018</v>
      </c>
      <c r="F12">
        <f t="shared" si="2"/>
        <v>299.5</v>
      </c>
      <c r="G12" s="119">
        <v>338</v>
      </c>
      <c r="H12" s="119">
        <v>257</v>
      </c>
      <c r="I12" s="103">
        <v>306</v>
      </c>
      <c r="J12" s="225">
        <v>334</v>
      </c>
      <c r="K12">
        <f t="shared" si="4"/>
        <v>-3.7</v>
      </c>
      <c r="L12">
        <f t="shared" si="3"/>
        <v>7766.1</v>
      </c>
      <c r="M12" t="s">
        <v>1020</v>
      </c>
      <c r="N12" t="s">
        <v>1027</v>
      </c>
      <c r="S12" s="225"/>
      <c r="T12" s="10"/>
    </row>
    <row r="13" spans="1:20" x14ac:dyDescent="0.25">
      <c r="S13" s="225"/>
      <c r="T13" s="10"/>
    </row>
    <row r="14" spans="1:20" x14ac:dyDescent="0.25">
      <c r="B14" s="2"/>
      <c r="S14" s="225"/>
      <c r="T14" s="10"/>
    </row>
    <row r="15" spans="1:20" x14ac:dyDescent="0.25">
      <c r="A15" t="s">
        <v>234</v>
      </c>
      <c r="S15" s="225"/>
      <c r="T15" s="10"/>
    </row>
    <row r="16" spans="1:20" x14ac:dyDescent="0.25">
      <c r="A16" s="182"/>
      <c r="B16" s="53">
        <v>2017</v>
      </c>
      <c r="C16" s="53">
        <v>2016</v>
      </c>
      <c r="D16" s="53">
        <v>2015</v>
      </c>
      <c r="E16" s="225">
        <v>2014</v>
      </c>
      <c r="F16" s="225">
        <v>2013</v>
      </c>
      <c r="H16" s="53">
        <v>2017</v>
      </c>
      <c r="I16" s="53">
        <v>2016</v>
      </c>
      <c r="J16" s="53">
        <v>2015</v>
      </c>
      <c r="S16" s="225"/>
      <c r="T16" s="10"/>
    </row>
    <row r="17" spans="1:20" x14ac:dyDescent="0.25">
      <c r="A17" s="182" t="s">
        <v>818</v>
      </c>
      <c r="B17" s="64">
        <f>B31+B18</f>
        <v>357</v>
      </c>
      <c r="C17" s="64">
        <f>C31+C18</f>
        <v>301</v>
      </c>
      <c r="D17" s="64">
        <f>D31+D18</f>
        <v>315</v>
      </c>
      <c r="E17" s="64">
        <f t="shared" ref="E17:F17" si="5">E31+E18</f>
        <v>370</v>
      </c>
      <c r="F17" s="64">
        <f t="shared" si="5"/>
        <v>361</v>
      </c>
      <c r="H17" s="128"/>
      <c r="I17" s="128"/>
      <c r="J17" s="128"/>
      <c r="S17" s="225"/>
      <c r="T17" s="10"/>
    </row>
    <row r="18" spans="1:20" x14ac:dyDescent="0.25">
      <c r="A18" s="9" t="s">
        <v>233</v>
      </c>
      <c r="B18" s="64">
        <f>SUBTOTAL(9,B19:B30)</f>
        <v>308</v>
      </c>
      <c r="C18" s="64">
        <f>SUBTOTAL(9,C19:C30)</f>
        <v>260</v>
      </c>
      <c r="D18" s="64">
        <f>SUBTOTAL(9,D19:D30)</f>
        <v>273</v>
      </c>
      <c r="E18" s="64">
        <f t="shared" ref="E18:F18" si="6">SUBTOTAL(9,E19:E30)</f>
        <v>330</v>
      </c>
      <c r="F18" s="64">
        <f t="shared" si="6"/>
        <v>325</v>
      </c>
      <c r="H18" s="65">
        <v>1</v>
      </c>
      <c r="I18" s="65">
        <v>1</v>
      </c>
      <c r="J18" s="65">
        <v>1</v>
      </c>
      <c r="S18" s="225"/>
      <c r="T18" s="10"/>
    </row>
    <row r="19" spans="1:20" x14ac:dyDescent="0.25">
      <c r="A19" s="179" t="s">
        <v>224</v>
      </c>
      <c r="B19" s="53">
        <f>SUBTOTAL(9,B20:B22)</f>
        <v>29</v>
      </c>
      <c r="C19" s="128">
        <f t="shared" ref="C19:F19" si="7">SUBTOTAL(9,C20:C22)</f>
        <v>55</v>
      </c>
      <c r="D19" s="128">
        <f t="shared" si="7"/>
        <v>67</v>
      </c>
      <c r="E19" s="225">
        <f t="shared" si="7"/>
        <v>140</v>
      </c>
      <c r="F19" s="225">
        <f t="shared" si="7"/>
        <v>155</v>
      </c>
      <c r="H19" s="53"/>
      <c r="I19" s="53"/>
      <c r="J19" s="53"/>
      <c r="S19" s="225"/>
      <c r="T19" s="10"/>
    </row>
    <row r="20" spans="1:20" x14ac:dyDescent="0.25">
      <c r="A20" s="186" t="s">
        <v>227</v>
      </c>
      <c r="B20" s="64">
        <v>30</v>
      </c>
      <c r="C20" s="64">
        <v>34</v>
      </c>
      <c r="D20" s="64">
        <v>31</v>
      </c>
      <c r="E20" s="225">
        <v>29</v>
      </c>
      <c r="F20" s="225">
        <v>25</v>
      </c>
      <c r="H20" s="65">
        <f t="shared" ref="H20:J22" si="8">B20/B$18</f>
        <v>9.7402597402597407E-2</v>
      </c>
      <c r="I20" s="65">
        <f t="shared" si="8"/>
        <v>0.13076923076923078</v>
      </c>
      <c r="J20" s="65">
        <f t="shared" si="8"/>
        <v>0.11355311355311355</v>
      </c>
      <c r="S20" s="225"/>
      <c r="T20" s="10"/>
    </row>
    <row r="21" spans="1:20" x14ac:dyDescent="0.25">
      <c r="A21" s="186" t="s">
        <v>228</v>
      </c>
      <c r="B21" s="64">
        <v>0</v>
      </c>
      <c r="C21" s="64">
        <v>21</v>
      </c>
      <c r="D21" s="64">
        <v>33</v>
      </c>
      <c r="E21" s="225">
        <v>107</v>
      </c>
      <c r="F21" s="225">
        <v>129</v>
      </c>
      <c r="H21" s="65">
        <f t="shared" si="8"/>
        <v>0</v>
      </c>
      <c r="I21" s="65">
        <f t="shared" si="8"/>
        <v>8.0769230769230774E-2</v>
      </c>
      <c r="J21" s="65">
        <f t="shared" si="8"/>
        <v>0.12087912087912088</v>
      </c>
      <c r="S21" s="225"/>
      <c r="T21" s="10"/>
    </row>
    <row r="22" spans="1:20" x14ac:dyDescent="0.25">
      <c r="A22" s="186" t="s">
        <v>229</v>
      </c>
      <c r="B22" s="64">
        <v>-1</v>
      </c>
      <c r="C22" s="64">
        <v>0</v>
      </c>
      <c r="D22" s="64">
        <v>3</v>
      </c>
      <c r="E22" s="225">
        <v>4</v>
      </c>
      <c r="F22" s="225">
        <v>1</v>
      </c>
      <c r="H22" s="65">
        <f t="shared" si="8"/>
        <v>-3.246753246753247E-3</v>
      </c>
      <c r="I22" s="65">
        <f t="shared" si="8"/>
        <v>0</v>
      </c>
      <c r="J22" s="65">
        <f t="shared" si="8"/>
        <v>1.098901098901099E-2</v>
      </c>
      <c r="S22" s="225"/>
      <c r="T22" s="10"/>
    </row>
    <row r="23" spans="1:20" x14ac:dyDescent="0.25">
      <c r="A23" s="179" t="s">
        <v>226</v>
      </c>
      <c r="B23" s="53">
        <f>SUBTOTAL(9,B24:B30)</f>
        <v>279</v>
      </c>
      <c r="C23" s="128">
        <f t="shared" ref="C23:F23" si="9">SUBTOTAL(9,C24:C30)</f>
        <v>205</v>
      </c>
      <c r="D23" s="128">
        <f t="shared" si="9"/>
        <v>206</v>
      </c>
      <c r="E23" s="225">
        <f t="shared" si="9"/>
        <v>190</v>
      </c>
      <c r="F23" s="225">
        <f t="shared" si="9"/>
        <v>170</v>
      </c>
      <c r="H23" s="53"/>
      <c r="I23" s="53"/>
      <c r="J23" s="53"/>
      <c r="K23" s="67"/>
      <c r="L23" s="67"/>
      <c r="S23" s="225"/>
    </row>
    <row r="24" spans="1:20" x14ac:dyDescent="0.25">
      <c r="A24" s="186" t="s">
        <v>650</v>
      </c>
      <c r="B24" s="64">
        <v>94</v>
      </c>
      <c r="C24" s="66">
        <v>52</v>
      </c>
      <c r="D24" s="64">
        <v>62</v>
      </c>
      <c r="E24" s="225">
        <v>-2</v>
      </c>
      <c r="F24" s="225">
        <v>-4</v>
      </c>
      <c r="H24" s="65">
        <f t="shared" ref="H24:J30" si="10">B24/B$18</f>
        <v>0.30519480519480519</v>
      </c>
      <c r="I24" s="65">
        <f t="shared" si="10"/>
        <v>0.2</v>
      </c>
      <c r="J24" s="65">
        <f t="shared" si="10"/>
        <v>0.2271062271062271</v>
      </c>
      <c r="S24" s="225"/>
    </row>
    <row r="25" spans="1:20" x14ac:dyDescent="0.25">
      <c r="A25" s="186" t="s">
        <v>652</v>
      </c>
      <c r="B25" s="64">
        <v>73</v>
      </c>
      <c r="C25" s="64">
        <v>46</v>
      </c>
      <c r="D25" s="64">
        <v>51</v>
      </c>
      <c r="E25" s="225">
        <v>67</v>
      </c>
      <c r="F25" s="225">
        <v>63</v>
      </c>
      <c r="H25" s="65">
        <f t="shared" si="10"/>
        <v>0.23701298701298701</v>
      </c>
      <c r="I25" s="65">
        <f t="shared" si="10"/>
        <v>0.17692307692307693</v>
      </c>
      <c r="J25" s="65">
        <f t="shared" si="10"/>
        <v>0.18681318681318682</v>
      </c>
      <c r="S25" s="225"/>
    </row>
    <row r="26" spans="1:20" x14ac:dyDescent="0.25">
      <c r="A26" s="186" t="s">
        <v>654</v>
      </c>
      <c r="B26" s="64">
        <v>41</v>
      </c>
      <c r="C26" s="64">
        <v>38</v>
      </c>
      <c r="D26" s="64">
        <v>41</v>
      </c>
      <c r="E26" s="225">
        <v>51</v>
      </c>
      <c r="F26" s="225">
        <v>58</v>
      </c>
      <c r="H26" s="65">
        <f t="shared" si="10"/>
        <v>0.13311688311688311</v>
      </c>
      <c r="I26" s="65">
        <f t="shared" si="10"/>
        <v>0.14615384615384616</v>
      </c>
      <c r="J26" s="65">
        <f t="shared" si="10"/>
        <v>0.15018315018315018</v>
      </c>
      <c r="S26" s="225"/>
    </row>
    <row r="27" spans="1:20" x14ac:dyDescent="0.25">
      <c r="A27" s="186" t="s">
        <v>230</v>
      </c>
      <c r="B27" s="64">
        <v>13</v>
      </c>
      <c r="C27" s="64">
        <v>9</v>
      </c>
      <c r="D27" s="64">
        <v>6</v>
      </c>
      <c r="E27" s="225"/>
      <c r="F27" s="225"/>
      <c r="H27" s="65">
        <f t="shared" si="10"/>
        <v>4.2207792207792208E-2</v>
      </c>
      <c r="I27" s="65">
        <f t="shared" si="10"/>
        <v>3.4615384615384617E-2</v>
      </c>
      <c r="J27" s="65">
        <f t="shared" si="10"/>
        <v>2.197802197802198E-2</v>
      </c>
      <c r="S27" s="225"/>
    </row>
    <row r="28" spans="1:20" x14ac:dyDescent="0.25">
      <c r="A28" s="186" t="s">
        <v>231</v>
      </c>
      <c r="B28" s="64">
        <v>12</v>
      </c>
      <c r="C28" s="64">
        <v>10</v>
      </c>
      <c r="D28" s="64">
        <v>10</v>
      </c>
      <c r="E28" s="225"/>
      <c r="F28" s="225"/>
      <c r="H28" s="65">
        <f t="shared" si="10"/>
        <v>3.896103896103896E-2</v>
      </c>
      <c r="I28" s="65">
        <f t="shared" si="10"/>
        <v>3.8461538461538464E-2</v>
      </c>
      <c r="J28" s="65">
        <f t="shared" si="10"/>
        <v>3.6630036630036632E-2</v>
      </c>
    </row>
    <row r="29" spans="1:20" x14ac:dyDescent="0.25">
      <c r="A29" s="186" t="s">
        <v>232</v>
      </c>
      <c r="B29" s="66">
        <v>9</v>
      </c>
      <c r="C29" s="66">
        <v>11</v>
      </c>
      <c r="D29" s="64">
        <v>18</v>
      </c>
      <c r="E29" s="225"/>
      <c r="F29" s="225"/>
      <c r="H29" s="65">
        <f t="shared" si="10"/>
        <v>2.922077922077922E-2</v>
      </c>
      <c r="I29" s="65">
        <f t="shared" si="10"/>
        <v>4.230769230769231E-2</v>
      </c>
      <c r="J29" s="65">
        <f t="shared" si="10"/>
        <v>6.5934065934065936E-2</v>
      </c>
    </row>
    <row r="30" spans="1:20" x14ac:dyDescent="0.25">
      <c r="A30" s="186" t="s">
        <v>929</v>
      </c>
      <c r="B30" s="66">
        <v>37</v>
      </c>
      <c r="C30" s="64">
        <v>39</v>
      </c>
      <c r="D30" s="64">
        <v>18</v>
      </c>
      <c r="E30" s="225">
        <v>74</v>
      </c>
      <c r="F30" s="225">
        <v>53</v>
      </c>
      <c r="H30" s="65">
        <f t="shared" si="10"/>
        <v>0.12012987012987013</v>
      </c>
      <c r="I30" s="65">
        <f t="shared" si="10"/>
        <v>0.15</v>
      </c>
      <c r="J30" s="65">
        <f t="shared" si="10"/>
        <v>6.5934065934065936E-2</v>
      </c>
    </row>
    <row r="31" spans="1:20" x14ac:dyDescent="0.25">
      <c r="A31" s="9" t="s">
        <v>819</v>
      </c>
      <c r="B31" s="64">
        <v>49</v>
      </c>
      <c r="C31" s="64">
        <v>41</v>
      </c>
      <c r="D31" s="64">
        <v>42</v>
      </c>
      <c r="E31" s="225">
        <v>40</v>
      </c>
      <c r="F31" s="225">
        <v>36</v>
      </c>
    </row>
    <row r="32" spans="1:20" x14ac:dyDescent="0.25">
      <c r="F32" s="53"/>
      <c r="G32" s="53"/>
      <c r="H32" s="53"/>
    </row>
    <row r="33" spans="1:14" x14ac:dyDescent="0.25">
      <c r="E33" s="225"/>
      <c r="F33" s="225"/>
    </row>
    <row r="34" spans="1:14" x14ac:dyDescent="0.25">
      <c r="B34" s="209">
        <v>2022</v>
      </c>
      <c r="C34" s="209">
        <v>2021</v>
      </c>
      <c r="D34" s="209">
        <v>2020</v>
      </c>
      <c r="E34" s="209">
        <v>2019</v>
      </c>
      <c r="F34" s="209">
        <v>2018</v>
      </c>
      <c r="G34" s="209">
        <v>2017</v>
      </c>
      <c r="H34" s="209">
        <v>2016</v>
      </c>
      <c r="I34" s="209">
        <v>2015</v>
      </c>
      <c r="J34" s="209">
        <v>2014</v>
      </c>
      <c r="K34" s="209">
        <v>2013</v>
      </c>
      <c r="L34" s="209"/>
    </row>
    <row r="35" spans="1:14" x14ac:dyDescent="0.25">
      <c r="A35" t="s">
        <v>927</v>
      </c>
      <c r="B35" s="2">
        <f t="shared" ref="B35:F37" si="11">$L35</f>
        <v>299.2</v>
      </c>
      <c r="C35" s="2">
        <f t="shared" si="11"/>
        <v>299.2</v>
      </c>
      <c r="D35" s="2">
        <f t="shared" si="11"/>
        <v>299.2</v>
      </c>
      <c r="E35" s="2">
        <f t="shared" si="11"/>
        <v>299.2</v>
      </c>
      <c r="F35" s="2">
        <f>$L35</f>
        <v>299.2</v>
      </c>
      <c r="G35" s="64">
        <f>B18</f>
        <v>308</v>
      </c>
      <c r="H35" s="64">
        <f>C18</f>
        <v>260</v>
      </c>
      <c r="I35" s="64">
        <f>D18</f>
        <v>273</v>
      </c>
      <c r="J35" s="64">
        <f>E18</f>
        <v>330</v>
      </c>
      <c r="K35" s="64">
        <f>F18</f>
        <v>325</v>
      </c>
      <c r="L35" s="64">
        <f>AVERAGE(G35:K35)</f>
        <v>299.2</v>
      </c>
      <c r="N35" t="s">
        <v>1011</v>
      </c>
    </row>
    <row r="36" spans="1:14" x14ac:dyDescent="0.25">
      <c r="A36" s="9" t="s">
        <v>928</v>
      </c>
      <c r="B36" s="2">
        <f t="shared" si="11"/>
        <v>235.4</v>
      </c>
      <c r="C36" s="2">
        <f t="shared" si="11"/>
        <v>235.4</v>
      </c>
      <c r="D36" s="2">
        <f t="shared" si="11"/>
        <v>235.4</v>
      </c>
      <c r="E36" s="2">
        <f t="shared" si="11"/>
        <v>235.4</v>
      </c>
      <c r="F36" s="2">
        <f t="shared" si="11"/>
        <v>235.4</v>
      </c>
      <c r="G36" s="225">
        <v>219</v>
      </c>
      <c r="H36" s="64">
        <v>212</v>
      </c>
      <c r="I36" s="64">
        <v>248</v>
      </c>
      <c r="J36" s="225">
        <v>227</v>
      </c>
      <c r="K36" s="225">
        <v>271</v>
      </c>
      <c r="L36" s="64">
        <f t="shared" ref="L36:L37" si="12">AVERAGE(G36:K36)</f>
        <v>235.4</v>
      </c>
      <c r="N36" t="s">
        <v>1011</v>
      </c>
    </row>
    <row r="37" spans="1:14" x14ac:dyDescent="0.25">
      <c r="A37" s="9" t="s">
        <v>945</v>
      </c>
      <c r="B37" s="2">
        <f t="shared" si="11"/>
        <v>9.6</v>
      </c>
      <c r="C37" s="2">
        <f t="shared" si="11"/>
        <v>9.6</v>
      </c>
      <c r="D37" s="2">
        <f t="shared" si="11"/>
        <v>9.6</v>
      </c>
      <c r="E37" s="2">
        <f t="shared" si="11"/>
        <v>9.6</v>
      </c>
      <c r="F37" s="2">
        <f t="shared" si="11"/>
        <v>9.6</v>
      </c>
      <c r="G37" s="225">
        <v>34</v>
      </c>
      <c r="H37" s="225">
        <v>-2</v>
      </c>
      <c r="I37" s="225">
        <v>11</v>
      </c>
      <c r="J37" s="225">
        <v>-3</v>
      </c>
      <c r="K37" s="225">
        <v>8</v>
      </c>
      <c r="L37" s="64">
        <f t="shared" si="12"/>
        <v>9.6</v>
      </c>
      <c r="N37" t="s">
        <v>1011</v>
      </c>
    </row>
    <row r="38" spans="1:14" x14ac:dyDescent="0.25">
      <c r="A38" s="125" t="s">
        <v>521</v>
      </c>
      <c r="B38" s="64">
        <f t="shared" ref="B38:F38" si="13">B35-B36+B37</f>
        <v>73.399999999999977</v>
      </c>
      <c r="C38" s="64">
        <f t="shared" si="13"/>
        <v>73.399999999999977</v>
      </c>
      <c r="D38" s="64">
        <f t="shared" si="13"/>
        <v>73.399999999999977</v>
      </c>
      <c r="E38" s="64">
        <f t="shared" si="13"/>
        <v>73.399999999999977</v>
      </c>
      <c r="F38" s="64">
        <f t="shared" si="13"/>
        <v>73.399999999999977</v>
      </c>
      <c r="G38" s="64">
        <f>G35-G36+G37</f>
        <v>123</v>
      </c>
      <c r="H38" s="64">
        <f t="shared" ref="H38:I38" si="14">H35-H36+H37</f>
        <v>46</v>
      </c>
      <c r="I38" s="64">
        <f t="shared" si="14"/>
        <v>36</v>
      </c>
      <c r="J38" s="64">
        <f t="shared" ref="J38" si="15">J35-J36+J37</f>
        <v>100</v>
      </c>
      <c r="K38" s="64">
        <f t="shared" ref="K38" si="16">K35-K36+K37</f>
        <v>62</v>
      </c>
      <c r="L38" s="64"/>
    </row>
    <row r="40" spans="1:14" x14ac:dyDescent="0.25">
      <c r="A40" s="125" t="s">
        <v>521</v>
      </c>
      <c r="B40" s="102">
        <v>123</v>
      </c>
      <c r="C40" s="102">
        <v>46</v>
      </c>
      <c r="D40" s="102">
        <v>36</v>
      </c>
      <c r="E40" s="201">
        <v>100</v>
      </c>
      <c r="F40" s="201">
        <v>62</v>
      </c>
    </row>
    <row r="41" spans="1:14" x14ac:dyDescent="0.25">
      <c r="B41" s="2"/>
      <c r="C41" s="2"/>
      <c r="D41" s="2"/>
    </row>
    <row r="44" spans="1:14" x14ac:dyDescent="0.25">
      <c r="A44" s="9"/>
      <c r="B44" s="67"/>
      <c r="C44" s="67"/>
      <c r="D44" s="67"/>
      <c r="E44" s="67"/>
      <c r="F44" s="67"/>
    </row>
    <row r="45" spans="1:14" x14ac:dyDescent="0.25">
      <c r="A45" t="s">
        <v>827</v>
      </c>
    </row>
    <row r="46" spans="1:14" x14ac:dyDescent="0.25">
      <c r="A46" t="s">
        <v>282</v>
      </c>
    </row>
    <row r="47" spans="1:14" x14ac:dyDescent="0.25">
      <c r="A47" t="s">
        <v>295</v>
      </c>
      <c r="B47" s="128">
        <v>2017</v>
      </c>
      <c r="C47" s="128">
        <v>2016</v>
      </c>
      <c r="D47" s="128">
        <v>2015</v>
      </c>
      <c r="E47" s="225">
        <v>2014</v>
      </c>
      <c r="F47" s="225">
        <v>2013</v>
      </c>
    </row>
    <row r="48" spans="1:14" x14ac:dyDescent="0.25">
      <c r="A48" t="s">
        <v>821</v>
      </c>
      <c r="B48" s="128">
        <v>7050</v>
      </c>
      <c r="C48" s="128">
        <v>5654</v>
      </c>
      <c r="D48" s="128">
        <v>5946</v>
      </c>
      <c r="E48" s="225">
        <v>7426</v>
      </c>
      <c r="F48" s="225">
        <v>7799</v>
      </c>
    </row>
    <row r="49" spans="1:6" x14ac:dyDescent="0.25">
      <c r="A49" t="s">
        <v>284</v>
      </c>
      <c r="B49" s="128">
        <v>1422</v>
      </c>
      <c r="C49" s="128">
        <v>1182</v>
      </c>
      <c r="D49" s="128">
        <v>1265</v>
      </c>
      <c r="E49" s="225">
        <v>1539</v>
      </c>
      <c r="F49" s="225">
        <v>1719</v>
      </c>
    </row>
    <row r="50" spans="1:6" x14ac:dyDescent="0.25">
      <c r="A50" t="s">
        <v>456</v>
      </c>
      <c r="B50" s="128">
        <v>680</v>
      </c>
      <c r="C50" s="128">
        <v>499</v>
      </c>
      <c r="D50" s="128">
        <v>521</v>
      </c>
      <c r="E50" s="225">
        <v>630</v>
      </c>
      <c r="F50" s="225">
        <v>690</v>
      </c>
    </row>
    <row r="51" spans="1:6" x14ac:dyDescent="0.25">
      <c r="A51" t="s">
        <v>282</v>
      </c>
      <c r="B51" s="128" t="s">
        <v>282</v>
      </c>
      <c r="C51" s="128" t="s">
        <v>282</v>
      </c>
      <c r="D51" s="128" t="s">
        <v>282</v>
      </c>
      <c r="E51" s="225" t="s">
        <v>282</v>
      </c>
      <c r="F51" s="225" t="s">
        <v>282</v>
      </c>
    </row>
    <row r="52" spans="1:6" x14ac:dyDescent="0.25">
      <c r="A52" t="s">
        <v>233</v>
      </c>
      <c r="B52" s="64">
        <f>B18</f>
        <v>308</v>
      </c>
      <c r="C52" s="64">
        <f>C18</f>
        <v>260</v>
      </c>
      <c r="D52" s="64">
        <f>D18</f>
        <v>273</v>
      </c>
      <c r="E52" s="225">
        <v>330</v>
      </c>
      <c r="F52" s="225">
        <v>325</v>
      </c>
    </row>
    <row r="53" spans="1:6" x14ac:dyDescent="0.25">
      <c r="A53" t="s">
        <v>819</v>
      </c>
      <c r="B53" s="64">
        <f>B31</f>
        <v>49</v>
      </c>
      <c r="C53" s="64">
        <f>C31</f>
        <v>41</v>
      </c>
      <c r="D53" s="64">
        <f>D31</f>
        <v>42</v>
      </c>
      <c r="E53" s="225">
        <v>40</v>
      </c>
      <c r="F53" s="225">
        <v>36</v>
      </c>
    </row>
    <row r="54" spans="1:6" x14ac:dyDescent="0.25">
      <c r="A54" t="s">
        <v>826</v>
      </c>
      <c r="B54" s="128">
        <v>357</v>
      </c>
      <c r="C54" s="128">
        <v>301</v>
      </c>
      <c r="D54" s="128">
        <v>315</v>
      </c>
      <c r="E54" s="225">
        <v>370</v>
      </c>
      <c r="F54" s="225">
        <v>361</v>
      </c>
    </row>
    <row r="55" spans="1:6" x14ac:dyDescent="0.25">
      <c r="B55" s="128"/>
      <c r="C55" s="128"/>
      <c r="D55" s="128"/>
      <c r="E55" s="225"/>
      <c r="F55" s="225"/>
    </row>
    <row r="56" spans="1:6" x14ac:dyDescent="0.25">
      <c r="A56" t="s">
        <v>282</v>
      </c>
      <c r="B56" s="128" t="s">
        <v>282</v>
      </c>
      <c r="C56" s="128" t="s">
        <v>282</v>
      </c>
      <c r="D56" s="128" t="s">
        <v>282</v>
      </c>
      <c r="E56" s="225" t="s">
        <v>282</v>
      </c>
      <c r="F56" s="225" t="s">
        <v>282</v>
      </c>
    </row>
    <row r="57" spans="1:6" x14ac:dyDescent="0.25">
      <c r="A57" t="s">
        <v>414</v>
      </c>
      <c r="B57" s="128">
        <v>3416</v>
      </c>
      <c r="C57" s="128">
        <v>2602</v>
      </c>
      <c r="D57">
        <v>2458</v>
      </c>
      <c r="E57" s="225">
        <v>2476</v>
      </c>
      <c r="F57" s="225" t="s">
        <v>282</v>
      </c>
    </row>
    <row r="58" spans="1:6" x14ac:dyDescent="0.25">
      <c r="A58" t="s">
        <v>822</v>
      </c>
      <c r="B58" s="128">
        <v>1379</v>
      </c>
      <c r="C58" s="128">
        <v>1377</v>
      </c>
      <c r="D58">
        <v>1539</v>
      </c>
      <c r="E58" s="225">
        <v>1667</v>
      </c>
      <c r="F58" s="225" t="s">
        <v>282</v>
      </c>
    </row>
    <row r="59" spans="1:6" x14ac:dyDescent="0.25">
      <c r="A59" t="s">
        <v>423</v>
      </c>
      <c r="B59" s="13">
        <v>-2567</v>
      </c>
      <c r="C59" s="13">
        <v>-1938</v>
      </c>
      <c r="D59">
        <v>-1796</v>
      </c>
      <c r="E59" s="225">
        <v>-1875</v>
      </c>
      <c r="F59" s="225" t="s">
        <v>282</v>
      </c>
    </row>
    <row r="60" spans="1:6" x14ac:dyDescent="0.25">
      <c r="A60" t="s">
        <v>823</v>
      </c>
      <c r="B60" s="128">
        <v>-237</v>
      </c>
      <c r="C60" s="128">
        <v>-232</v>
      </c>
      <c r="D60">
        <v>-284</v>
      </c>
      <c r="E60" s="225">
        <v>-420</v>
      </c>
      <c r="F60" s="225" t="s">
        <v>282</v>
      </c>
    </row>
    <row r="61" spans="1:6" x14ac:dyDescent="0.25">
      <c r="A61" t="s">
        <v>824</v>
      </c>
      <c r="B61" s="128">
        <v>1991</v>
      </c>
      <c r="C61" s="128">
        <v>1809</v>
      </c>
      <c r="D61">
        <v>1917</v>
      </c>
      <c r="E61" s="225">
        <v>1848</v>
      </c>
      <c r="F61" s="225" t="s">
        <v>282</v>
      </c>
    </row>
    <row r="62" spans="1:6" x14ac:dyDescent="0.25">
      <c r="A62" t="s">
        <v>282</v>
      </c>
      <c r="B62" s="128" t="s">
        <v>282</v>
      </c>
      <c r="C62" s="128" t="s">
        <v>282</v>
      </c>
      <c r="D62" t="s">
        <v>282</v>
      </c>
      <c r="E62" s="225" t="s">
        <v>282</v>
      </c>
      <c r="F62" s="225" t="s">
        <v>282</v>
      </c>
    </row>
    <row r="63" spans="1:6" x14ac:dyDescent="0.25">
      <c r="A63" t="s">
        <v>825</v>
      </c>
      <c r="B63" s="128">
        <v>1116</v>
      </c>
      <c r="C63" s="128">
        <v>927</v>
      </c>
      <c r="D63">
        <v>958</v>
      </c>
      <c r="E63" s="225">
        <v>956</v>
      </c>
      <c r="F63" s="225" t="s">
        <v>282</v>
      </c>
    </row>
    <row r="64" spans="1:6" x14ac:dyDescent="0.25">
      <c r="E64" s="225"/>
      <c r="F64" s="225"/>
    </row>
    <row r="65" spans="1:6" x14ac:dyDescent="0.25">
      <c r="E65" s="225"/>
      <c r="F65" s="225"/>
    </row>
    <row r="66" spans="1:6" x14ac:dyDescent="0.25">
      <c r="A66" t="s">
        <v>829</v>
      </c>
      <c r="B66">
        <f>B58+B60</f>
        <v>1142</v>
      </c>
      <c r="C66">
        <f>C58+C60</f>
        <v>1145</v>
      </c>
      <c r="E66" s="225"/>
      <c r="F66" s="225"/>
    </row>
    <row r="67" spans="1:6" x14ac:dyDescent="0.25">
      <c r="A67" t="s">
        <v>828</v>
      </c>
      <c r="B67" s="108">
        <f>B59+B61</f>
        <v>-576</v>
      </c>
      <c r="C67" s="108">
        <f>C59+C61</f>
        <v>-129</v>
      </c>
      <c r="E67" s="225"/>
      <c r="F67" s="225"/>
    </row>
    <row r="68" spans="1:6" x14ac:dyDescent="0.25">
      <c r="E68" s="225"/>
      <c r="F68" s="225"/>
    </row>
  </sheetData>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1809F-3B2C-49CB-AE1F-76673700905F}">
  <sheetPr codeName="Sheet21">
    <tabColor theme="8" tint="0.39997558519241921"/>
  </sheetPr>
  <dimension ref="A1:W37"/>
  <sheetViews>
    <sheetView workbookViewId="0"/>
  </sheetViews>
  <sheetFormatPr defaultRowHeight="15" x14ac:dyDescent="0.25"/>
  <cols>
    <col min="1" max="1" width="24.140625" bestFit="1" customWidth="1"/>
    <col min="2" max="2" width="8.7109375" style="236"/>
    <col min="3" max="3" width="12.7109375" style="236" customWidth="1"/>
    <col min="4" max="4" width="9.140625" style="236" bestFit="1" customWidth="1"/>
    <col min="5" max="7" width="8.7109375" style="236"/>
    <col min="8" max="8" width="13.42578125" style="236" customWidth="1"/>
    <col min="9" max="9" width="9.140625" style="236" bestFit="1" customWidth="1"/>
    <col min="10" max="11" width="8.7109375" style="236"/>
    <col min="12" max="12" width="12.5703125" style="236" customWidth="1"/>
    <col min="13" max="13" width="12.5703125" style="281" customWidth="1"/>
    <col min="14" max="14" width="10.85546875" style="236" bestFit="1" customWidth="1"/>
    <col min="15" max="15" width="9.7109375" style="236" customWidth="1"/>
    <col min="16" max="16" width="8.7109375" style="236"/>
    <col min="17" max="17" width="12.42578125" style="236" customWidth="1"/>
    <col min="18" max="18" width="9.140625" style="236" bestFit="1" customWidth="1"/>
  </cols>
  <sheetData>
    <row r="1" spans="1:23" x14ac:dyDescent="0.25">
      <c r="A1" t="s">
        <v>282</v>
      </c>
      <c r="B1" s="511">
        <v>2017</v>
      </c>
      <c r="C1" s="511"/>
      <c r="D1" s="511"/>
      <c r="G1" s="511">
        <v>2016</v>
      </c>
      <c r="H1" s="511"/>
      <c r="I1" s="511"/>
      <c r="K1" s="511">
        <v>2015</v>
      </c>
      <c r="L1" s="511"/>
      <c r="M1" s="511"/>
      <c r="O1" s="511">
        <v>2014</v>
      </c>
      <c r="P1" s="511"/>
      <c r="Q1" s="511"/>
      <c r="R1"/>
    </row>
    <row r="2" spans="1:23" s="8" customFormat="1" ht="75" x14ac:dyDescent="0.25">
      <c r="A2" s="8" t="s">
        <v>295</v>
      </c>
      <c r="B2" s="222" t="s">
        <v>965</v>
      </c>
      <c r="C2" s="222" t="s">
        <v>970</v>
      </c>
      <c r="D2" s="222" t="s">
        <v>971</v>
      </c>
      <c r="E2" s="222"/>
      <c r="F2" s="222"/>
      <c r="G2" s="222" t="s">
        <v>965</v>
      </c>
      <c r="H2" s="222" t="s">
        <v>970</v>
      </c>
      <c r="I2" s="222" t="s">
        <v>971</v>
      </c>
      <c r="J2" s="222"/>
      <c r="K2" s="222" t="s">
        <v>965</v>
      </c>
      <c r="L2" s="222" t="s">
        <v>970</v>
      </c>
      <c r="M2" s="222" t="s">
        <v>971</v>
      </c>
      <c r="O2" s="222" t="s">
        <v>965</v>
      </c>
      <c r="P2" s="222" t="s">
        <v>970</v>
      </c>
      <c r="Q2" s="222" t="s">
        <v>971</v>
      </c>
    </row>
    <row r="3" spans="1:23" x14ac:dyDescent="0.25">
      <c r="A3" t="s">
        <v>282</v>
      </c>
      <c r="B3" s="236" t="s">
        <v>282</v>
      </c>
      <c r="G3" s="236" t="s">
        <v>282</v>
      </c>
      <c r="K3" s="236" t="s">
        <v>282</v>
      </c>
      <c r="M3" s="236"/>
      <c r="O3" s="236" t="s">
        <v>282</v>
      </c>
      <c r="R3"/>
    </row>
    <row r="4" spans="1:23" x14ac:dyDescent="0.25">
      <c r="A4" t="s">
        <v>969</v>
      </c>
      <c r="B4" s="236" t="s">
        <v>282</v>
      </c>
      <c r="C4" s="236" t="s">
        <v>282</v>
      </c>
      <c r="D4" s="236" t="s">
        <v>282</v>
      </c>
      <c r="F4" s="236" t="s">
        <v>282</v>
      </c>
      <c r="G4" s="236" t="s">
        <v>282</v>
      </c>
      <c r="H4" s="236" t="s">
        <v>282</v>
      </c>
      <c r="I4" s="236" t="s">
        <v>282</v>
      </c>
      <c r="K4" s="236" t="s">
        <v>282</v>
      </c>
      <c r="L4" s="236" t="s">
        <v>282</v>
      </c>
      <c r="M4" s="236" t="s">
        <v>282</v>
      </c>
      <c r="O4" s="236" t="s">
        <v>282</v>
      </c>
      <c r="P4" s="236" t="s">
        <v>282</v>
      </c>
      <c r="Q4" s="236" t="s">
        <v>282</v>
      </c>
      <c r="R4"/>
    </row>
    <row r="5" spans="1:23" x14ac:dyDescent="0.25">
      <c r="A5" s="9" t="s">
        <v>645</v>
      </c>
      <c r="B5" s="236">
        <v>170</v>
      </c>
      <c r="C5" s="64">
        <v>0</v>
      </c>
      <c r="D5" s="236">
        <v>170</v>
      </c>
      <c r="F5" s="236" t="s">
        <v>282</v>
      </c>
      <c r="G5" s="236">
        <v>132</v>
      </c>
      <c r="H5" s="64">
        <v>0</v>
      </c>
      <c r="I5" s="236">
        <v>132</v>
      </c>
      <c r="K5" s="236">
        <v>88</v>
      </c>
      <c r="L5" s="64">
        <v>0</v>
      </c>
      <c r="M5" s="236">
        <v>88</v>
      </c>
      <c r="O5" s="236">
        <v>75</v>
      </c>
      <c r="P5" s="236">
        <v>1</v>
      </c>
      <c r="Q5" s="236">
        <v>76</v>
      </c>
      <c r="R5"/>
    </row>
    <row r="6" spans="1:23" x14ac:dyDescent="0.25">
      <c r="A6" s="9" t="s">
        <v>646</v>
      </c>
      <c r="B6" s="236">
        <v>0</v>
      </c>
      <c r="C6" s="236">
        <v>0</v>
      </c>
      <c r="D6" s="236">
        <v>0</v>
      </c>
      <c r="F6" s="236" t="s">
        <v>282</v>
      </c>
      <c r="G6" s="236">
        <v>114</v>
      </c>
      <c r="H6" s="236">
        <v>0</v>
      </c>
      <c r="I6" s="236">
        <v>114</v>
      </c>
      <c r="K6" s="236">
        <v>0</v>
      </c>
      <c r="L6" s="236">
        <v>0</v>
      </c>
      <c r="M6" s="236">
        <v>0</v>
      </c>
      <c r="O6" s="236">
        <v>6</v>
      </c>
      <c r="P6" s="236">
        <v>0</v>
      </c>
      <c r="Q6" s="236">
        <v>6</v>
      </c>
      <c r="R6"/>
    </row>
    <row r="7" spans="1:23" x14ac:dyDescent="0.25">
      <c r="A7" s="9" t="s">
        <v>647</v>
      </c>
      <c r="B7" s="236">
        <v>12</v>
      </c>
      <c r="C7" s="236">
        <v>3</v>
      </c>
      <c r="D7" s="236">
        <v>15</v>
      </c>
      <c r="F7" s="236" t="s">
        <v>282</v>
      </c>
      <c r="G7" s="236">
        <v>12</v>
      </c>
      <c r="H7" s="236">
        <v>0</v>
      </c>
      <c r="I7" s="236">
        <v>12</v>
      </c>
      <c r="K7" s="236">
        <v>11</v>
      </c>
      <c r="L7" s="236">
        <v>-1</v>
      </c>
      <c r="M7" s="236">
        <v>10</v>
      </c>
      <c r="O7" s="236">
        <v>9</v>
      </c>
      <c r="P7" s="236">
        <v>0</v>
      </c>
      <c r="Q7" s="236">
        <v>9</v>
      </c>
      <c r="R7"/>
    </row>
    <row r="8" spans="1:23" x14ac:dyDescent="0.25">
      <c r="A8" s="9" t="s">
        <v>648</v>
      </c>
      <c r="B8" s="236">
        <v>12</v>
      </c>
      <c r="C8" s="236">
        <v>0</v>
      </c>
      <c r="D8" s="236">
        <v>12</v>
      </c>
      <c r="F8" s="236" t="s">
        <v>282</v>
      </c>
      <c r="G8" s="236">
        <v>0</v>
      </c>
      <c r="H8" s="236">
        <v>0</v>
      </c>
      <c r="I8" s="236">
        <v>0</v>
      </c>
      <c r="M8" s="236"/>
      <c r="R8"/>
    </row>
    <row r="9" spans="1:23" x14ac:dyDescent="0.25">
      <c r="A9" s="9" t="s">
        <v>649</v>
      </c>
      <c r="B9" s="236">
        <v>1</v>
      </c>
      <c r="C9" s="236">
        <v>0</v>
      </c>
      <c r="D9" s="236">
        <v>1</v>
      </c>
      <c r="F9" s="236" t="s">
        <v>282</v>
      </c>
      <c r="G9" s="236">
        <v>2</v>
      </c>
      <c r="H9" s="236">
        <v>0</v>
      </c>
      <c r="I9" s="236">
        <v>2</v>
      </c>
      <c r="K9" s="236">
        <v>2</v>
      </c>
      <c r="L9" s="236">
        <v>0</v>
      </c>
      <c r="M9" s="236">
        <v>2</v>
      </c>
      <c r="O9" s="236">
        <v>2</v>
      </c>
      <c r="P9" s="236">
        <v>0</v>
      </c>
      <c r="Q9" s="236">
        <v>2</v>
      </c>
      <c r="R9"/>
    </row>
    <row r="10" spans="1:23" x14ac:dyDescent="0.25">
      <c r="A10" t="s">
        <v>966</v>
      </c>
      <c r="B10" s="236">
        <v>195</v>
      </c>
      <c r="C10" s="236">
        <v>3</v>
      </c>
      <c r="D10" s="236">
        <v>198</v>
      </c>
      <c r="F10" s="236" t="s">
        <v>282</v>
      </c>
      <c r="G10" s="236">
        <v>260</v>
      </c>
      <c r="H10" s="64">
        <v>0</v>
      </c>
      <c r="I10" s="236">
        <v>260</v>
      </c>
      <c r="K10" s="236">
        <v>101</v>
      </c>
      <c r="L10" s="236">
        <v>-1</v>
      </c>
      <c r="M10" s="236">
        <v>100</v>
      </c>
      <c r="O10" s="236">
        <v>92</v>
      </c>
      <c r="P10" s="236">
        <v>1</v>
      </c>
      <c r="Q10" s="236">
        <v>93</v>
      </c>
      <c r="R10"/>
    </row>
    <row r="13" spans="1:23" x14ac:dyDescent="0.25">
      <c r="B13" s="250">
        <v>2022</v>
      </c>
      <c r="C13" s="250">
        <v>2021</v>
      </c>
      <c r="D13" s="250">
        <v>2020</v>
      </c>
      <c r="E13" s="250">
        <v>2019</v>
      </c>
      <c r="F13" s="250">
        <v>2018</v>
      </c>
      <c r="G13" s="236">
        <v>2017</v>
      </c>
      <c r="H13" s="236">
        <v>2016</v>
      </c>
      <c r="I13" s="250">
        <v>2015</v>
      </c>
      <c r="J13" s="250">
        <v>2014</v>
      </c>
      <c r="K13" s="261">
        <v>2013</v>
      </c>
      <c r="L13" s="236" t="s">
        <v>1028</v>
      </c>
      <c r="M13" s="281" t="s">
        <v>1116</v>
      </c>
      <c r="N13" s="236" t="s">
        <v>1025</v>
      </c>
      <c r="O13" s="236" t="s">
        <v>886</v>
      </c>
      <c r="S13" s="236"/>
      <c r="T13" s="236"/>
      <c r="U13" s="236"/>
      <c r="V13" s="236"/>
      <c r="W13" s="236"/>
    </row>
    <row r="14" spans="1:23" x14ac:dyDescent="0.25">
      <c r="B14"/>
      <c r="C14"/>
      <c r="D14"/>
      <c r="E14"/>
      <c r="F14"/>
      <c r="S14" s="236"/>
      <c r="T14" s="236"/>
      <c r="U14" s="236"/>
      <c r="V14" s="236"/>
      <c r="W14" s="236"/>
    </row>
    <row r="15" spans="1:23" x14ac:dyDescent="0.25">
      <c r="A15" s="233" t="s">
        <v>971</v>
      </c>
      <c r="B15" s="261">
        <f t="shared" ref="B15:F15" si="0">SUM(B16:B20)</f>
        <v>417.4999999999942</v>
      </c>
      <c r="C15" s="261">
        <f t="shared" si="0"/>
        <v>382.90000000000293</v>
      </c>
      <c r="D15" s="261">
        <f t="shared" si="0"/>
        <v>348.29999999999711</v>
      </c>
      <c r="E15" s="261">
        <f t="shared" si="0"/>
        <v>313.70000000000584</v>
      </c>
      <c r="F15" s="261">
        <f t="shared" si="0"/>
        <v>279.10000000000002</v>
      </c>
      <c r="G15" s="236">
        <f>SUM(G16:G20)</f>
        <v>198</v>
      </c>
      <c r="H15" s="236">
        <f t="shared" ref="H15:J15" si="1">SUM(H16:H20)</f>
        <v>260</v>
      </c>
      <c r="I15" s="236">
        <f t="shared" si="1"/>
        <v>100</v>
      </c>
      <c r="J15" s="236">
        <f t="shared" si="1"/>
        <v>93</v>
      </c>
      <c r="S15" s="236"/>
      <c r="T15" s="236"/>
      <c r="U15" s="236"/>
      <c r="V15" s="236"/>
      <c r="W15" s="236"/>
    </row>
    <row r="16" spans="1:23" x14ac:dyDescent="0.25">
      <c r="A16" s="9" t="s">
        <v>645</v>
      </c>
      <c r="B16" s="9">
        <f t="shared" ref="B16:E18" si="2">$L16*B$13+$M16</f>
        <v>328.39999999999418</v>
      </c>
      <c r="C16" s="9">
        <f t="shared" si="2"/>
        <v>295.80000000000291</v>
      </c>
      <c r="D16" s="9">
        <f t="shared" si="2"/>
        <v>263.19999999999709</v>
      </c>
      <c r="E16" s="9">
        <f t="shared" si="2"/>
        <v>230.60000000000582</v>
      </c>
      <c r="F16" s="9">
        <f>$L16*F$13+$M16</f>
        <v>198</v>
      </c>
      <c r="G16" s="236">
        <f>D5</f>
        <v>170</v>
      </c>
      <c r="H16" s="236">
        <f>I5</f>
        <v>132</v>
      </c>
      <c r="I16" s="236">
        <f>M5</f>
        <v>88</v>
      </c>
      <c r="J16" s="236">
        <f>Q5</f>
        <v>76</v>
      </c>
      <c r="L16" s="236">
        <f>SLOPE(G16:J16, $G$13:$J$13)</f>
        <v>32.6</v>
      </c>
      <c r="M16" s="281">
        <f>INTERCEPT(G16:J16, $G$13:$J$13)</f>
        <v>-65588.800000000003</v>
      </c>
      <c r="N16" s="10" t="s">
        <v>1020</v>
      </c>
      <c r="O16" s="103"/>
      <c r="P16" s="201"/>
      <c r="Q16" s="201"/>
      <c r="S16" s="236"/>
      <c r="T16" s="236"/>
      <c r="U16" s="236"/>
      <c r="V16" s="236"/>
      <c r="W16" s="236"/>
    </row>
    <row r="17" spans="1:23" x14ac:dyDescent="0.25">
      <c r="A17" s="9" t="s">
        <v>646</v>
      </c>
      <c r="B17" s="9">
        <f>$L16</f>
        <v>32.6</v>
      </c>
      <c r="C17" s="9">
        <f>$L16</f>
        <v>32.6</v>
      </c>
      <c r="D17" s="9">
        <f>$L16</f>
        <v>32.6</v>
      </c>
      <c r="E17" s="9">
        <f>$L16</f>
        <v>32.6</v>
      </c>
      <c r="F17" s="9">
        <f>$L16</f>
        <v>32.6</v>
      </c>
      <c r="G17" s="236">
        <f>D6</f>
        <v>0</v>
      </c>
      <c r="H17" s="236">
        <f>I6</f>
        <v>114</v>
      </c>
      <c r="I17" s="236">
        <f>M6</f>
        <v>0</v>
      </c>
      <c r="J17" s="236">
        <f>Q6</f>
        <v>6</v>
      </c>
      <c r="L17" s="236">
        <f>AVERAGE($G$17:$J$17)</f>
        <v>30</v>
      </c>
      <c r="N17" s="10" t="s">
        <v>1011</v>
      </c>
      <c r="S17" s="236"/>
      <c r="T17" s="236"/>
      <c r="U17" s="236"/>
      <c r="V17" s="236"/>
      <c r="W17" s="236"/>
    </row>
    <row r="18" spans="1:23" x14ac:dyDescent="0.25">
      <c r="A18" s="9" t="s">
        <v>647</v>
      </c>
      <c r="B18" s="9">
        <f t="shared" si="2"/>
        <v>24.5</v>
      </c>
      <c r="C18" s="9">
        <f t="shared" si="2"/>
        <v>22.5</v>
      </c>
      <c r="D18" s="9">
        <f t="shared" si="2"/>
        <v>20.5</v>
      </c>
      <c r="E18" s="9">
        <f t="shared" si="2"/>
        <v>18.5</v>
      </c>
      <c r="F18" s="9">
        <f>$L18*F$13+$M18</f>
        <v>16.5</v>
      </c>
      <c r="G18" s="236">
        <f>D7</f>
        <v>15</v>
      </c>
      <c r="H18" s="236">
        <f>I7</f>
        <v>12</v>
      </c>
      <c r="I18" s="236">
        <f>M7</f>
        <v>10</v>
      </c>
      <c r="J18" s="236">
        <f>Q7</f>
        <v>9</v>
      </c>
      <c r="L18" s="250">
        <f>SLOPE(G18:J18, $G$13:$J$13)</f>
        <v>2</v>
      </c>
      <c r="M18" s="281">
        <f>INTERCEPT(G18:J18, $G$13:$J$13)</f>
        <v>-4019.5</v>
      </c>
      <c r="N18" s="10" t="s">
        <v>1020</v>
      </c>
      <c r="S18" s="236"/>
      <c r="T18" s="236"/>
      <c r="U18" s="236"/>
      <c r="V18" s="236"/>
      <c r="W18" s="236"/>
    </row>
    <row r="19" spans="1:23" x14ac:dyDescent="0.25">
      <c r="A19" s="9" t="s">
        <v>648</v>
      </c>
      <c r="B19" s="9">
        <f t="shared" ref="B19:F20" si="3">$L18</f>
        <v>2</v>
      </c>
      <c r="C19" s="9">
        <f t="shared" si="3"/>
        <v>2</v>
      </c>
      <c r="D19" s="9">
        <f t="shared" si="3"/>
        <v>2</v>
      </c>
      <c r="E19" s="9">
        <f t="shared" si="3"/>
        <v>2</v>
      </c>
      <c r="F19" s="9">
        <f t="shared" si="3"/>
        <v>2</v>
      </c>
      <c r="G19" s="236">
        <f>D8</f>
        <v>12</v>
      </c>
      <c r="H19" s="236">
        <f>I8</f>
        <v>0</v>
      </c>
      <c r="I19" s="236">
        <f>M8</f>
        <v>0</v>
      </c>
      <c r="J19" s="236">
        <f>Q8</f>
        <v>0</v>
      </c>
      <c r="L19" s="250">
        <f>AVERAGE($G$17:$J$17)</f>
        <v>30</v>
      </c>
      <c r="N19" s="10" t="s">
        <v>1011</v>
      </c>
      <c r="S19" s="236"/>
      <c r="T19" s="236"/>
      <c r="U19" s="236"/>
      <c r="V19" s="236"/>
      <c r="W19" s="236"/>
    </row>
    <row r="20" spans="1:23" x14ac:dyDescent="0.25">
      <c r="A20" s="9" t="s">
        <v>649</v>
      </c>
      <c r="B20" s="9">
        <f t="shared" si="3"/>
        <v>30</v>
      </c>
      <c r="C20" s="9">
        <f t="shared" si="3"/>
        <v>30</v>
      </c>
      <c r="D20" s="9">
        <f t="shared" si="3"/>
        <v>30</v>
      </c>
      <c r="E20" s="9">
        <f t="shared" si="3"/>
        <v>30</v>
      </c>
      <c r="F20" s="9">
        <f t="shared" si="3"/>
        <v>30</v>
      </c>
      <c r="G20" s="236">
        <f>D9</f>
        <v>1</v>
      </c>
      <c r="H20" s="236">
        <f>I9</f>
        <v>2</v>
      </c>
      <c r="I20" s="236">
        <f>M9</f>
        <v>2</v>
      </c>
      <c r="J20" s="236">
        <f>Q9</f>
        <v>2</v>
      </c>
      <c r="L20" s="250">
        <f>AVERAGE($G$17:$J$17)</f>
        <v>30</v>
      </c>
      <c r="N20" s="10" t="s">
        <v>1011</v>
      </c>
      <c r="S20" s="236"/>
      <c r="T20" s="236"/>
      <c r="U20" s="236"/>
      <c r="V20" s="236"/>
      <c r="W20" s="236"/>
    </row>
    <row r="21" spans="1:23" x14ac:dyDescent="0.25">
      <c r="A21" s="9"/>
      <c r="B21" s="9"/>
      <c r="C21" s="9"/>
      <c r="D21" s="9"/>
      <c r="E21" s="9"/>
      <c r="F21" s="9"/>
      <c r="S21" s="236"/>
      <c r="T21" s="236"/>
      <c r="U21" s="236"/>
      <c r="V21" s="236"/>
      <c r="W21" s="236"/>
    </row>
    <row r="22" spans="1:23" x14ac:dyDescent="0.25">
      <c r="A22" s="233" t="s">
        <v>965</v>
      </c>
      <c r="B22" s="261">
        <f t="shared" ref="B22:F22" si="4">SUM(B23:B27)</f>
        <v>417.4999999999942</v>
      </c>
      <c r="C22" s="261">
        <f t="shared" si="4"/>
        <v>382.90000000000293</v>
      </c>
      <c r="D22" s="261">
        <f t="shared" si="4"/>
        <v>348.29999999999711</v>
      </c>
      <c r="E22" s="261">
        <f t="shared" si="4"/>
        <v>313.70000000000584</v>
      </c>
      <c r="F22" s="261">
        <f t="shared" si="4"/>
        <v>279.10000000000002</v>
      </c>
      <c r="G22" s="236">
        <f>SUM(G23:G27)</f>
        <v>195</v>
      </c>
      <c r="H22" s="236">
        <f t="shared" ref="H22" si="5">SUM(H23:H27)</f>
        <v>260</v>
      </c>
      <c r="I22" s="236">
        <f t="shared" ref="I22" si="6">SUM(I23:I27)</f>
        <v>101</v>
      </c>
      <c r="J22" s="236">
        <f t="shared" ref="J22" si="7">SUM(J23:J27)</f>
        <v>92</v>
      </c>
      <c r="S22" s="236"/>
      <c r="T22" s="236"/>
      <c r="U22" s="236"/>
      <c r="V22" s="236"/>
      <c r="W22" s="236"/>
    </row>
    <row r="23" spans="1:23" x14ac:dyDescent="0.25">
      <c r="A23" s="9" t="s">
        <v>645</v>
      </c>
      <c r="B23" s="9">
        <f t="shared" ref="B23:E27" si="8">B16</f>
        <v>328.39999999999418</v>
      </c>
      <c r="C23" s="9">
        <f t="shared" si="8"/>
        <v>295.80000000000291</v>
      </c>
      <c r="D23" s="9">
        <f t="shared" si="8"/>
        <v>263.19999999999709</v>
      </c>
      <c r="E23" s="9">
        <f t="shared" si="8"/>
        <v>230.60000000000582</v>
      </c>
      <c r="F23" s="9">
        <f>F16</f>
        <v>198</v>
      </c>
      <c r="G23" s="236">
        <f>B5</f>
        <v>170</v>
      </c>
      <c r="H23" s="236">
        <f>G5</f>
        <v>132</v>
      </c>
      <c r="I23" s="236">
        <f>K5</f>
        <v>88</v>
      </c>
      <c r="J23" s="236">
        <f>O5</f>
        <v>75</v>
      </c>
      <c r="S23" s="236"/>
      <c r="T23" s="236"/>
      <c r="U23" s="236"/>
      <c r="V23" s="236"/>
      <c r="W23" s="236"/>
    </row>
    <row r="24" spans="1:23" x14ac:dyDescent="0.25">
      <c r="A24" s="9" t="s">
        <v>646</v>
      </c>
      <c r="B24" s="9">
        <f t="shared" si="8"/>
        <v>32.6</v>
      </c>
      <c r="C24" s="9">
        <f t="shared" si="8"/>
        <v>32.6</v>
      </c>
      <c r="D24" s="9">
        <f t="shared" si="8"/>
        <v>32.6</v>
      </c>
      <c r="E24" s="9">
        <f t="shared" si="8"/>
        <v>32.6</v>
      </c>
      <c r="F24" s="9">
        <f t="shared" ref="F24:F27" si="9">F17</f>
        <v>32.6</v>
      </c>
      <c r="G24" s="236">
        <f>B6</f>
        <v>0</v>
      </c>
      <c r="H24" s="236">
        <f>G6</f>
        <v>114</v>
      </c>
      <c r="I24" s="236">
        <f>K6</f>
        <v>0</v>
      </c>
      <c r="J24" s="236">
        <f>O6</f>
        <v>6</v>
      </c>
      <c r="S24" s="236"/>
      <c r="T24" s="236"/>
      <c r="U24" s="236"/>
      <c r="V24" s="236"/>
      <c r="W24" s="236"/>
    </row>
    <row r="25" spans="1:23" x14ac:dyDescent="0.25">
      <c r="A25" s="9" t="s">
        <v>647</v>
      </c>
      <c r="B25" s="9">
        <f t="shared" si="8"/>
        <v>24.5</v>
      </c>
      <c r="C25" s="9">
        <f t="shared" si="8"/>
        <v>22.5</v>
      </c>
      <c r="D25" s="9">
        <f t="shared" si="8"/>
        <v>20.5</v>
      </c>
      <c r="E25" s="9">
        <f t="shared" si="8"/>
        <v>18.5</v>
      </c>
      <c r="F25" s="9">
        <f t="shared" si="9"/>
        <v>16.5</v>
      </c>
      <c r="G25" s="236">
        <f>B7</f>
        <v>12</v>
      </c>
      <c r="H25" s="236">
        <f>G7</f>
        <v>12</v>
      </c>
      <c r="I25" s="236">
        <f>K7</f>
        <v>11</v>
      </c>
      <c r="J25" s="236">
        <f>O7</f>
        <v>9</v>
      </c>
      <c r="S25" s="236"/>
      <c r="T25" s="236"/>
      <c r="U25" s="236"/>
      <c r="V25" s="236"/>
      <c r="W25" s="236"/>
    </row>
    <row r="26" spans="1:23" x14ac:dyDescent="0.25">
      <c r="A26" s="9" t="s">
        <v>648</v>
      </c>
      <c r="B26" s="9">
        <f t="shared" si="8"/>
        <v>2</v>
      </c>
      <c r="C26" s="9">
        <f t="shared" si="8"/>
        <v>2</v>
      </c>
      <c r="D26" s="9">
        <f t="shared" si="8"/>
        <v>2</v>
      </c>
      <c r="E26" s="9">
        <f t="shared" si="8"/>
        <v>2</v>
      </c>
      <c r="F26" s="9">
        <f t="shared" si="9"/>
        <v>2</v>
      </c>
      <c r="G26" s="236">
        <f>B8</f>
        <v>12</v>
      </c>
      <c r="H26" s="236">
        <f>G8</f>
        <v>0</v>
      </c>
      <c r="I26" s="236">
        <f>K8</f>
        <v>0</v>
      </c>
      <c r="J26" s="236">
        <f>O8</f>
        <v>0</v>
      </c>
      <c r="S26" s="236"/>
      <c r="T26" s="236"/>
      <c r="U26" s="236"/>
      <c r="V26" s="236"/>
      <c r="W26" s="236"/>
    </row>
    <row r="27" spans="1:23" x14ac:dyDescent="0.25">
      <c r="A27" s="9" t="s">
        <v>649</v>
      </c>
      <c r="B27" s="9">
        <f t="shared" si="8"/>
        <v>30</v>
      </c>
      <c r="C27" s="9">
        <f t="shared" si="8"/>
        <v>30</v>
      </c>
      <c r="D27" s="9">
        <f t="shared" si="8"/>
        <v>30</v>
      </c>
      <c r="E27" s="9">
        <f t="shared" si="8"/>
        <v>30</v>
      </c>
      <c r="F27" s="9">
        <f t="shared" si="9"/>
        <v>30</v>
      </c>
      <c r="G27" s="236">
        <f>B9</f>
        <v>1</v>
      </c>
      <c r="H27" s="236">
        <f>G9</f>
        <v>2</v>
      </c>
      <c r="I27" s="236">
        <f>K9</f>
        <v>2</v>
      </c>
      <c r="J27" s="236">
        <f>O9</f>
        <v>2</v>
      </c>
      <c r="S27" s="236"/>
      <c r="T27" s="236"/>
      <c r="U27" s="236"/>
      <c r="V27" s="236"/>
      <c r="W27" s="236"/>
    </row>
    <row r="28" spans="1:23" x14ac:dyDescent="0.25">
      <c r="B28"/>
      <c r="C28"/>
      <c r="D28"/>
      <c r="E28"/>
      <c r="F28"/>
      <c r="S28" s="236"/>
      <c r="T28" s="236"/>
      <c r="U28" s="236"/>
      <c r="V28" s="236"/>
      <c r="W28" s="236"/>
    </row>
    <row r="29" spans="1:23" x14ac:dyDescent="0.25">
      <c r="A29" s="167" t="s">
        <v>719</v>
      </c>
      <c r="B29" s="102">
        <f t="shared" ref="B29:F29" si="10">SUBTOTAL(9,B30:B31)</f>
        <v>162.09999999999854</v>
      </c>
      <c r="C29" s="102">
        <f t="shared" si="10"/>
        <v>185.80000000000291</v>
      </c>
      <c r="D29" s="102">
        <f t="shared" si="10"/>
        <v>209.5</v>
      </c>
      <c r="E29" s="102">
        <f t="shared" si="10"/>
        <v>233.20000000000437</v>
      </c>
      <c r="F29" s="102">
        <f t="shared" si="10"/>
        <v>256.90000000000146</v>
      </c>
      <c r="G29" s="102">
        <f>SUBTOTAL(9,G30:G31)</f>
        <v>194</v>
      </c>
      <c r="H29" s="102">
        <f t="shared" ref="H29:K29" si="11">SUBTOTAL(9,H30:H31)</f>
        <v>478</v>
      </c>
      <c r="I29" s="102">
        <f t="shared" si="11"/>
        <v>282</v>
      </c>
      <c r="J29" s="102">
        <f t="shared" si="11"/>
        <v>275</v>
      </c>
      <c r="K29" s="102">
        <f t="shared" si="11"/>
        <v>418</v>
      </c>
      <c r="S29" s="236"/>
      <c r="T29" s="236"/>
      <c r="U29" s="236"/>
      <c r="V29" s="236"/>
      <c r="W29" s="236"/>
    </row>
    <row r="30" spans="1:23" x14ac:dyDescent="0.25">
      <c r="A30" s="9" t="s">
        <v>972</v>
      </c>
      <c r="B30" s="9">
        <f t="shared" ref="B30:F30" si="12">$L30*B$13+$M30</f>
        <v>162.09999999999854</v>
      </c>
      <c r="C30" s="9">
        <f t="shared" si="12"/>
        <v>185.80000000000291</v>
      </c>
      <c r="D30" s="9">
        <f t="shared" si="12"/>
        <v>209.5</v>
      </c>
      <c r="E30" s="9">
        <f t="shared" si="12"/>
        <v>233.20000000000437</v>
      </c>
      <c r="F30" s="9">
        <f t="shared" si="12"/>
        <v>256.90000000000146</v>
      </c>
      <c r="G30" s="236">
        <f>G15-H15+G36</f>
        <v>204</v>
      </c>
      <c r="H30" s="236">
        <f>H15-I15+H36</f>
        <v>466</v>
      </c>
      <c r="I30" s="236">
        <f>I15-J15+I36</f>
        <v>277</v>
      </c>
      <c r="J30" s="236">
        <v>275</v>
      </c>
      <c r="K30" s="236">
        <v>418</v>
      </c>
      <c r="L30" s="261">
        <f>SLOPE(G30:K30, $G$13:$K$13)</f>
        <v>-23.7</v>
      </c>
      <c r="M30" s="281">
        <f>INTERCEPT(G30:K30, $G$13:$K$13)</f>
        <v>48083.5</v>
      </c>
      <c r="N30" s="10" t="s">
        <v>1020</v>
      </c>
      <c r="S30" s="236"/>
      <c r="T30" s="236"/>
      <c r="U30" s="236"/>
      <c r="V30" s="236"/>
      <c r="W30" s="236"/>
    </row>
    <row r="31" spans="1:23" x14ac:dyDescent="0.25">
      <c r="A31" s="9" t="s">
        <v>993</v>
      </c>
      <c r="B31" s="9"/>
      <c r="C31" s="9"/>
      <c r="D31" s="9"/>
      <c r="E31" s="9"/>
      <c r="F31" s="9"/>
      <c r="G31" s="236">
        <v>-10</v>
      </c>
      <c r="H31" s="236">
        <v>12</v>
      </c>
      <c r="I31" s="236">
        <v>5</v>
      </c>
      <c r="S31" s="236"/>
      <c r="T31" s="236"/>
      <c r="U31" s="236"/>
      <c r="V31" s="236"/>
      <c r="W31" s="236"/>
    </row>
    <row r="32" spans="1:23" x14ac:dyDescent="0.25">
      <c r="B32"/>
      <c r="C32"/>
      <c r="D32"/>
      <c r="E32"/>
      <c r="F32"/>
      <c r="S32" s="236"/>
      <c r="T32" s="236"/>
      <c r="U32" s="236"/>
      <c r="V32" s="236"/>
      <c r="W32" s="236"/>
    </row>
    <row r="33" spans="1:23" x14ac:dyDescent="0.25">
      <c r="B33"/>
      <c r="C33"/>
      <c r="D33"/>
      <c r="E33"/>
      <c r="F33"/>
      <c r="S33" s="236"/>
      <c r="T33" s="236"/>
      <c r="U33" s="236"/>
      <c r="V33" s="236"/>
      <c r="W33" s="236"/>
    </row>
    <row r="34" spans="1:23" x14ac:dyDescent="0.25">
      <c r="A34" t="s">
        <v>282</v>
      </c>
      <c r="B34"/>
      <c r="C34"/>
      <c r="D34"/>
      <c r="E34"/>
      <c r="F34"/>
      <c r="G34" s="236" t="s">
        <v>298</v>
      </c>
      <c r="S34" s="236"/>
      <c r="T34" s="236"/>
      <c r="U34" s="236"/>
      <c r="V34" s="236"/>
      <c r="W34" s="236"/>
    </row>
    <row r="35" spans="1:23" x14ac:dyDescent="0.25">
      <c r="A35" t="s">
        <v>295</v>
      </c>
      <c r="B35"/>
      <c r="C35"/>
      <c r="D35"/>
      <c r="E35"/>
      <c r="F35"/>
      <c r="G35" s="236">
        <v>2017</v>
      </c>
      <c r="H35" s="236">
        <v>2016</v>
      </c>
      <c r="I35" s="236">
        <v>2015</v>
      </c>
      <c r="J35" s="236">
        <v>2014</v>
      </c>
      <c r="K35" s="236">
        <v>2013</v>
      </c>
      <c r="S35" s="236"/>
      <c r="T35" s="236"/>
      <c r="U35" s="236"/>
      <c r="V35" s="236"/>
      <c r="W35" s="236"/>
    </row>
    <row r="36" spans="1:23" x14ac:dyDescent="0.25">
      <c r="A36" t="s">
        <v>967</v>
      </c>
      <c r="B36" s="9">
        <f t="shared" ref="B36:F36" si="13">$L36*B$13+$M36</f>
        <v>-42.999999999985448</v>
      </c>
      <c r="C36" s="9">
        <f t="shared" si="13"/>
        <v>11.800000000017462</v>
      </c>
      <c r="D36" s="9">
        <f t="shared" si="13"/>
        <v>66.600000000005821</v>
      </c>
      <c r="E36" s="9">
        <f t="shared" si="13"/>
        <v>121.40000000000873</v>
      </c>
      <c r="F36" s="9">
        <f t="shared" si="13"/>
        <v>176.20000000001164</v>
      </c>
      <c r="G36" s="236">
        <v>266</v>
      </c>
      <c r="H36" s="236">
        <v>306</v>
      </c>
      <c r="I36" s="236">
        <v>270</v>
      </c>
      <c r="J36" s="236">
        <v>336</v>
      </c>
      <c r="K36" s="236">
        <v>525</v>
      </c>
      <c r="L36" s="261">
        <f>SLOPE(G36:K36, $G$13:$K$13)</f>
        <v>-54.8</v>
      </c>
      <c r="M36" s="281">
        <f>INTERCEPT(G36:K36, $G$13:$K$13)</f>
        <v>110762.6</v>
      </c>
      <c r="N36" s="10" t="s">
        <v>1020</v>
      </c>
      <c r="S36" s="236"/>
      <c r="T36" s="236"/>
      <c r="U36" s="236"/>
      <c r="V36" s="236"/>
      <c r="W36" s="236"/>
    </row>
    <row r="37" spans="1:23" x14ac:dyDescent="0.25">
      <c r="A37" t="s">
        <v>968</v>
      </c>
      <c r="B37" s="261">
        <v>0</v>
      </c>
      <c r="C37" s="261">
        <v>0</v>
      </c>
      <c r="D37" s="261">
        <v>0</v>
      </c>
      <c r="E37" s="261">
        <v>0</v>
      </c>
      <c r="F37" s="261">
        <v>0</v>
      </c>
      <c r="G37" s="236">
        <v>0</v>
      </c>
      <c r="H37" s="236">
        <v>0</v>
      </c>
      <c r="I37" s="236">
        <v>1</v>
      </c>
      <c r="J37" s="236">
        <v>14</v>
      </c>
      <c r="K37" s="236">
        <v>14</v>
      </c>
      <c r="S37" s="236"/>
      <c r="T37" s="236"/>
      <c r="U37" s="236"/>
      <c r="V37" s="236"/>
      <c r="W37" s="236"/>
    </row>
  </sheetData>
  <mergeCells count="4">
    <mergeCell ref="B1:D1"/>
    <mergeCell ref="G1:I1"/>
    <mergeCell ref="K1:M1"/>
    <mergeCell ref="O1:Q1"/>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1459D-91EC-4EFE-8D70-0FA316E5A98F}">
  <sheetPr codeName="Sheet12">
    <tabColor theme="8" tint="0.39997558519241921"/>
  </sheetPr>
  <dimension ref="B1:F24"/>
  <sheetViews>
    <sheetView workbookViewId="0"/>
  </sheetViews>
  <sheetFormatPr defaultRowHeight="15" x14ac:dyDescent="0.25"/>
  <cols>
    <col min="2" max="2" width="58.28515625" bestFit="1" customWidth="1"/>
  </cols>
  <sheetData>
    <row r="1" spans="2:6" x14ac:dyDescent="0.25">
      <c r="B1" s="98" t="s">
        <v>295</v>
      </c>
      <c r="C1" s="6">
        <v>2017</v>
      </c>
      <c r="D1" s="6">
        <v>2016</v>
      </c>
      <c r="E1" s="4">
        <v>2015</v>
      </c>
      <c r="F1" s="6"/>
    </row>
    <row r="2" spans="2:6" x14ac:dyDescent="0.25">
      <c r="B2" s="98" t="s">
        <v>681</v>
      </c>
      <c r="C2" s="6">
        <v>1414</v>
      </c>
      <c r="D2" s="6">
        <v>1404</v>
      </c>
      <c r="E2" s="4">
        <v>1283</v>
      </c>
      <c r="F2" s="6"/>
    </row>
    <row r="3" spans="2:6" x14ac:dyDescent="0.25">
      <c r="B3" s="148" t="s">
        <v>682</v>
      </c>
      <c r="C3" s="6">
        <v>557</v>
      </c>
      <c r="D3" s="6">
        <v>334</v>
      </c>
      <c r="E3" s="4">
        <v>391</v>
      </c>
      <c r="F3" s="6"/>
    </row>
    <row r="4" spans="2:6" x14ac:dyDescent="0.25">
      <c r="B4" s="148" t="s">
        <v>693</v>
      </c>
      <c r="C4" s="6">
        <v>240</v>
      </c>
      <c r="D4" s="6">
        <v>231</v>
      </c>
      <c r="E4" s="4">
        <v>290</v>
      </c>
      <c r="F4" s="6"/>
    </row>
    <row r="5" spans="2:6" x14ac:dyDescent="0.25">
      <c r="B5" s="148" t="s">
        <v>683</v>
      </c>
      <c r="C5" s="6">
        <v>-398</v>
      </c>
      <c r="D5" s="6">
        <v>-385</v>
      </c>
      <c r="E5" s="4">
        <v>-389</v>
      </c>
      <c r="F5" s="6"/>
    </row>
    <row r="6" spans="2:6" x14ac:dyDescent="0.25">
      <c r="B6" s="148" t="s">
        <v>692</v>
      </c>
      <c r="C6" s="6">
        <v>-219</v>
      </c>
      <c r="D6" s="6">
        <v>-201</v>
      </c>
      <c r="E6" s="4">
        <v>-179</v>
      </c>
      <c r="F6" s="6"/>
    </row>
    <row r="7" spans="2:6" x14ac:dyDescent="0.25">
      <c r="B7" s="148" t="s">
        <v>694</v>
      </c>
      <c r="C7" s="6">
        <v>85</v>
      </c>
      <c r="D7" s="6">
        <v>44</v>
      </c>
      <c r="E7" s="4">
        <v>20</v>
      </c>
      <c r="F7" s="6"/>
    </row>
    <row r="8" spans="2:6" x14ac:dyDescent="0.25">
      <c r="B8" s="148" t="s">
        <v>684</v>
      </c>
      <c r="C8" s="6">
        <v>8</v>
      </c>
      <c r="D8" s="6">
        <v>-13</v>
      </c>
      <c r="E8" s="4">
        <v>-12</v>
      </c>
      <c r="F8" s="6"/>
    </row>
    <row r="9" spans="2:6" x14ac:dyDescent="0.25">
      <c r="B9" s="98" t="s">
        <v>685</v>
      </c>
      <c r="C9" s="6">
        <v>1687</v>
      </c>
      <c r="D9" s="6">
        <v>1414</v>
      </c>
      <c r="E9" s="4">
        <v>1404</v>
      </c>
      <c r="F9" s="6"/>
    </row>
    <row r="10" spans="2:6" x14ac:dyDescent="0.25">
      <c r="B10" s="5"/>
      <c r="C10" s="6"/>
      <c r="D10" s="6"/>
      <c r="E10" s="6"/>
      <c r="F10" s="6"/>
    </row>
    <row r="11" spans="2:6" x14ac:dyDescent="0.25">
      <c r="B11" s="98" t="s">
        <v>282</v>
      </c>
      <c r="C11" s="6" t="s">
        <v>282</v>
      </c>
      <c r="D11" s="6" t="s">
        <v>384</v>
      </c>
      <c r="E11" s="6"/>
      <c r="F11" s="6"/>
    </row>
    <row r="12" spans="2:6" x14ac:dyDescent="0.25">
      <c r="B12" s="98" t="s">
        <v>295</v>
      </c>
      <c r="C12" s="6">
        <v>2017</v>
      </c>
      <c r="D12" s="6">
        <v>2016</v>
      </c>
      <c r="E12" s="6"/>
      <c r="F12" s="4" t="s">
        <v>686</v>
      </c>
    </row>
    <row r="13" spans="2:6" x14ac:dyDescent="0.25">
      <c r="B13" s="98" t="s">
        <v>691</v>
      </c>
      <c r="C13" s="6" t="s">
        <v>282</v>
      </c>
      <c r="D13" s="6" t="s">
        <v>282</v>
      </c>
      <c r="E13" s="6"/>
      <c r="F13" s="4" t="s">
        <v>282</v>
      </c>
    </row>
    <row r="14" spans="2:6" x14ac:dyDescent="0.25">
      <c r="B14" s="148" t="s">
        <v>687</v>
      </c>
      <c r="C14" s="6">
        <v>231</v>
      </c>
      <c r="D14" s="6">
        <v>218</v>
      </c>
      <c r="E14" s="6"/>
      <c r="F14" s="4" t="s">
        <v>426</v>
      </c>
    </row>
    <row r="15" spans="2:6" x14ac:dyDescent="0.25">
      <c r="B15" s="148" t="s">
        <v>688</v>
      </c>
      <c r="C15" s="6">
        <v>536</v>
      </c>
      <c r="D15" s="6">
        <v>527</v>
      </c>
      <c r="E15" s="6"/>
      <c r="F15" s="4" t="s">
        <v>689</v>
      </c>
    </row>
    <row r="16" spans="2:6" x14ac:dyDescent="0.25">
      <c r="B16" s="98" t="s">
        <v>15</v>
      </c>
      <c r="C16" s="6">
        <v>767</v>
      </c>
      <c r="D16" s="6">
        <v>745</v>
      </c>
      <c r="E16" s="6"/>
      <c r="F16" s="4" t="s">
        <v>282</v>
      </c>
    </row>
    <row r="17" spans="2:6" x14ac:dyDescent="0.25">
      <c r="B17" s="98" t="s">
        <v>282</v>
      </c>
      <c r="C17" s="6" t="s">
        <v>282</v>
      </c>
      <c r="D17" s="6" t="s">
        <v>282</v>
      </c>
      <c r="E17" s="6"/>
      <c r="F17" s="4" t="s">
        <v>282</v>
      </c>
    </row>
    <row r="18" spans="2:6" x14ac:dyDescent="0.25">
      <c r="B18" s="98" t="s">
        <v>690</v>
      </c>
      <c r="C18" s="6">
        <v>466</v>
      </c>
      <c r="D18" s="6">
        <v>336</v>
      </c>
      <c r="E18" s="6"/>
      <c r="F18" s="4" t="s">
        <v>689</v>
      </c>
    </row>
    <row r="19" spans="2:6" x14ac:dyDescent="0.25">
      <c r="B19" s="98"/>
      <c r="C19" s="6"/>
      <c r="D19" s="6"/>
      <c r="E19" s="6"/>
      <c r="F19" s="6"/>
    </row>
    <row r="20" spans="2:6" x14ac:dyDescent="0.25">
      <c r="B20" s="98" t="s">
        <v>635</v>
      </c>
      <c r="C20" s="6">
        <v>454</v>
      </c>
      <c r="D20" s="6">
        <v>333</v>
      </c>
      <c r="E20" s="4">
        <v>359</v>
      </c>
      <c r="F20" s="6"/>
    </row>
    <row r="21" spans="2:6" x14ac:dyDescent="0.25">
      <c r="B21" s="98"/>
      <c r="C21" s="6"/>
      <c r="D21" s="6"/>
      <c r="E21" s="6"/>
      <c r="F21" s="6"/>
    </row>
    <row r="22" spans="2:6" x14ac:dyDescent="0.25">
      <c r="F22" s="6"/>
    </row>
    <row r="23" spans="2:6" x14ac:dyDescent="0.25">
      <c r="B23" s="98"/>
      <c r="C23" s="6"/>
      <c r="D23" s="6"/>
      <c r="E23" s="6"/>
      <c r="F23" s="6"/>
    </row>
    <row r="24" spans="2:6" x14ac:dyDescent="0.25">
      <c r="B24" s="5"/>
      <c r="C24" s="6">
        <f>C20-C14</f>
        <v>223</v>
      </c>
      <c r="D24" s="6"/>
      <c r="E24" s="6"/>
      <c r="F24" s="4"/>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06911-D232-4243-9F3D-4DF89AB46673}">
  <sheetPr codeName="Sheet11">
    <tabColor theme="8" tint="0.39997558519241921"/>
  </sheetPr>
  <dimension ref="B1:G22"/>
  <sheetViews>
    <sheetView workbookViewId="0"/>
  </sheetViews>
  <sheetFormatPr defaultRowHeight="15" x14ac:dyDescent="0.25"/>
  <cols>
    <col min="2" max="2" width="35.85546875" bestFit="1" customWidth="1"/>
    <col min="3" max="3" width="11.42578125" bestFit="1" customWidth="1"/>
    <col min="4" max="4" width="10.5703125" bestFit="1" customWidth="1"/>
    <col min="5" max="5" width="13.42578125" bestFit="1" customWidth="1"/>
    <col min="6" max="6" width="6.42578125" bestFit="1" customWidth="1"/>
    <col min="7" max="7" width="6.28515625" bestFit="1" customWidth="1"/>
  </cols>
  <sheetData>
    <row r="1" spans="2:7" x14ac:dyDescent="0.25">
      <c r="B1" s="118" t="s">
        <v>488</v>
      </c>
      <c r="C1" s="96"/>
      <c r="D1" s="96"/>
      <c r="E1" s="96"/>
      <c r="F1" s="96"/>
      <c r="G1" s="96"/>
    </row>
    <row r="2" spans="2:7" x14ac:dyDescent="0.25">
      <c r="B2" s="90" t="s">
        <v>295</v>
      </c>
      <c r="C2" s="90" t="s">
        <v>218</v>
      </c>
      <c r="D2" s="90" t="s">
        <v>263</v>
      </c>
      <c r="E2" s="90" t="s">
        <v>250</v>
      </c>
      <c r="F2" s="90" t="s">
        <v>225</v>
      </c>
      <c r="G2" s="90" t="s">
        <v>15</v>
      </c>
    </row>
    <row r="3" spans="2:7" x14ac:dyDescent="0.25">
      <c r="B3" s="90" t="s">
        <v>489</v>
      </c>
      <c r="C3" s="93">
        <v>391</v>
      </c>
      <c r="D3" s="93">
        <v>75</v>
      </c>
      <c r="E3" s="93">
        <v>10</v>
      </c>
      <c r="F3" s="93">
        <v>6</v>
      </c>
      <c r="G3" s="93">
        <v>482</v>
      </c>
    </row>
    <row r="4" spans="2:7" x14ac:dyDescent="0.25">
      <c r="B4" s="90"/>
      <c r="C4" s="93"/>
      <c r="D4" s="93"/>
      <c r="E4" s="93"/>
      <c r="F4" s="93"/>
      <c r="G4" s="93"/>
    </row>
    <row r="5" spans="2:7" x14ac:dyDescent="0.25">
      <c r="B5" s="90" t="s">
        <v>490</v>
      </c>
      <c r="C5" s="90">
        <v>0</v>
      </c>
      <c r="D5" s="94">
        <v>4</v>
      </c>
      <c r="E5" s="90">
        <v>0</v>
      </c>
      <c r="F5" s="90">
        <v>0</v>
      </c>
      <c r="G5" s="94">
        <v>4</v>
      </c>
    </row>
    <row r="6" spans="2:7" x14ac:dyDescent="0.25">
      <c r="B6" s="90" t="s">
        <v>491</v>
      </c>
      <c r="C6" s="90">
        <v>-5</v>
      </c>
      <c r="D6" s="90">
        <v>0</v>
      </c>
      <c r="E6" s="90">
        <v>-1</v>
      </c>
      <c r="F6" s="90">
        <v>0</v>
      </c>
      <c r="G6" s="90">
        <v>-6</v>
      </c>
    </row>
    <row r="7" spans="2:7" x14ac:dyDescent="0.25">
      <c r="B7" s="90" t="s">
        <v>492</v>
      </c>
      <c r="C7" s="94">
        <v>386</v>
      </c>
      <c r="D7" s="94">
        <v>79</v>
      </c>
      <c r="E7" s="94">
        <v>9</v>
      </c>
      <c r="F7" s="94">
        <v>6</v>
      </c>
      <c r="G7" s="94">
        <v>480</v>
      </c>
    </row>
    <row r="8" spans="2:7" x14ac:dyDescent="0.25">
      <c r="B8" s="90"/>
      <c r="C8" s="94"/>
      <c r="D8" s="94"/>
      <c r="E8" s="94"/>
      <c r="F8" s="94"/>
      <c r="G8" s="94"/>
    </row>
    <row r="9" spans="2:7" x14ac:dyDescent="0.25">
      <c r="B9" s="90" t="s">
        <v>490</v>
      </c>
      <c r="C9" s="94">
        <v>544</v>
      </c>
      <c r="D9" s="90">
        <v>0</v>
      </c>
      <c r="E9" s="90">
        <v>0</v>
      </c>
      <c r="F9" s="90">
        <v>0</v>
      </c>
      <c r="G9" s="94">
        <v>544</v>
      </c>
    </row>
    <row r="10" spans="2:7" x14ac:dyDescent="0.25">
      <c r="B10" s="90" t="s">
        <v>491</v>
      </c>
      <c r="C10" s="94">
        <v>10</v>
      </c>
      <c r="D10" s="90">
        <v>0</v>
      </c>
      <c r="E10" s="94">
        <v>1</v>
      </c>
      <c r="F10" s="90">
        <v>0</v>
      </c>
      <c r="G10" s="94">
        <v>11</v>
      </c>
    </row>
    <row r="11" spans="2:7" x14ac:dyDescent="0.25">
      <c r="B11" s="90" t="s">
        <v>493</v>
      </c>
      <c r="C11" s="93">
        <v>940</v>
      </c>
      <c r="D11" s="93">
        <v>79</v>
      </c>
      <c r="E11" s="93">
        <v>10</v>
      </c>
      <c r="F11" s="93">
        <v>6</v>
      </c>
      <c r="G11" s="93">
        <v>1035</v>
      </c>
    </row>
    <row r="12" spans="2:7" x14ac:dyDescent="0.25">
      <c r="B12" s="90" t="s">
        <v>494</v>
      </c>
      <c r="C12" s="89" t="s">
        <v>282</v>
      </c>
      <c r="D12" s="89" t="s">
        <v>282</v>
      </c>
      <c r="E12" s="89" t="s">
        <v>282</v>
      </c>
      <c r="F12" s="89" t="s">
        <v>282</v>
      </c>
      <c r="G12" s="94">
        <v>47</v>
      </c>
    </row>
    <row r="15" spans="2:7" x14ac:dyDescent="0.25">
      <c r="E15">
        <v>2017</v>
      </c>
      <c r="F15">
        <v>2016</v>
      </c>
      <c r="G15">
        <v>2015</v>
      </c>
    </row>
    <row r="16" spans="2:7" x14ac:dyDescent="0.25">
      <c r="B16" s="121" t="s">
        <v>644</v>
      </c>
      <c r="C16" s="94"/>
      <c r="D16" s="94"/>
      <c r="E16" s="6">
        <f>SUBTOTAL(9,E17:E22)</f>
        <v>973</v>
      </c>
      <c r="F16" s="6">
        <f>SUBTOTAL(9,F17:F22)</f>
        <v>332</v>
      </c>
      <c r="G16" s="134">
        <v>328</v>
      </c>
    </row>
    <row r="17" spans="2:7" x14ac:dyDescent="0.25">
      <c r="B17" s="124" t="s">
        <v>497</v>
      </c>
      <c r="C17" s="94"/>
      <c r="D17" s="94"/>
      <c r="E17" s="94">
        <f>SUBTOTAL(9,E18:E19)</f>
        <v>332</v>
      </c>
      <c r="F17" s="94">
        <f>SUBTOTAL(9,F18:F19)</f>
        <v>287</v>
      </c>
      <c r="G17" s="134"/>
    </row>
    <row r="18" spans="2:7" x14ac:dyDescent="0.25">
      <c r="B18" s="146" t="s">
        <v>495</v>
      </c>
      <c r="C18" s="94"/>
      <c r="D18" s="94"/>
      <c r="E18" s="93">
        <v>718</v>
      </c>
      <c r="F18" s="93">
        <v>617</v>
      </c>
      <c r="G18" s="134"/>
    </row>
    <row r="19" spans="2:7" x14ac:dyDescent="0.25">
      <c r="B19" s="146" t="s">
        <v>496</v>
      </c>
      <c r="C19" s="94"/>
      <c r="D19" s="94"/>
      <c r="E19" s="90">
        <v>-386</v>
      </c>
      <c r="F19" s="90">
        <v>-330</v>
      </c>
      <c r="G19" s="134"/>
    </row>
    <row r="20" spans="2:7" x14ac:dyDescent="0.25">
      <c r="B20" s="124" t="s">
        <v>643</v>
      </c>
      <c r="C20" s="94"/>
      <c r="D20" s="94"/>
      <c r="E20" s="94">
        <f>SUBTOTAL(9,E21:E22)</f>
        <v>641</v>
      </c>
      <c r="F20" s="94">
        <f>SUBTOTAL(9,F21:F22)</f>
        <v>45</v>
      </c>
      <c r="G20" s="134"/>
    </row>
    <row r="21" spans="2:7" x14ac:dyDescent="0.25">
      <c r="B21" s="146" t="s">
        <v>642</v>
      </c>
      <c r="C21" s="94"/>
      <c r="D21" s="94"/>
      <c r="E21" s="94">
        <v>786</v>
      </c>
      <c r="F21" s="94">
        <v>164</v>
      </c>
      <c r="G21" s="134"/>
    </row>
    <row r="22" spans="2:7" x14ac:dyDescent="0.25">
      <c r="B22" s="146" t="s">
        <v>496</v>
      </c>
      <c r="C22" s="94"/>
      <c r="D22" s="94"/>
      <c r="E22" s="90">
        <v>-145</v>
      </c>
      <c r="F22" s="90">
        <v>-119</v>
      </c>
      <c r="G22" s="13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8762A-9409-4C76-8303-9F537460CC04}">
  <sheetPr codeName="Sheet14">
    <tabColor theme="8" tint="0.39997558519241921"/>
  </sheetPr>
  <dimension ref="A1:AL52"/>
  <sheetViews>
    <sheetView workbookViewId="0">
      <pane ySplit="1" topLeftCell="A2" activePane="bottomLeft" state="frozen"/>
      <selection pane="bottomLeft" activeCell="A2" sqref="A2"/>
    </sheetView>
  </sheetViews>
  <sheetFormatPr defaultColWidth="8.7109375" defaultRowHeight="15" x14ac:dyDescent="0.25"/>
  <cols>
    <col min="1" max="1" width="8.7109375" style="154"/>
    <col min="2" max="2" width="52.7109375" style="154" bestFit="1" customWidth="1"/>
    <col min="3" max="14" width="8.7109375" style="154"/>
    <col min="15" max="15" width="27.5703125" style="154" bestFit="1" customWidth="1"/>
    <col min="16" max="16" width="8.7109375" style="154"/>
    <col min="17" max="17" width="34.42578125" style="154" bestFit="1" customWidth="1"/>
    <col min="18" max="16384" width="8.7109375" style="154"/>
  </cols>
  <sheetData>
    <row r="1" spans="2:38" x14ac:dyDescent="0.25">
      <c r="B1" s="137" t="s">
        <v>295</v>
      </c>
      <c r="C1" s="158">
        <v>2022</v>
      </c>
      <c r="D1" s="159">
        <v>2021</v>
      </c>
      <c r="E1" s="158">
        <v>2020</v>
      </c>
      <c r="F1" s="158">
        <v>2019</v>
      </c>
      <c r="G1" s="159">
        <v>2018</v>
      </c>
      <c r="H1" s="158">
        <v>2017</v>
      </c>
      <c r="I1" s="158">
        <v>2016</v>
      </c>
      <c r="J1" s="159">
        <v>2015</v>
      </c>
      <c r="K1" s="159">
        <v>2014</v>
      </c>
      <c r="L1" s="159" t="s">
        <v>1028</v>
      </c>
      <c r="M1" s="159" t="s">
        <v>1116</v>
      </c>
      <c r="N1" s="154" t="s">
        <v>1025</v>
      </c>
      <c r="O1" s="154" t="s">
        <v>886</v>
      </c>
      <c r="Q1" s="154" t="s">
        <v>282</v>
      </c>
      <c r="R1" s="154" t="s">
        <v>282</v>
      </c>
      <c r="S1" s="154" t="s">
        <v>298</v>
      </c>
    </row>
    <row r="2" spans="2:38" x14ac:dyDescent="0.25">
      <c r="B2" s="137" t="s">
        <v>1083</v>
      </c>
      <c r="C2" s="138"/>
      <c r="D2" s="138"/>
      <c r="E2" s="138"/>
      <c r="F2" s="138"/>
      <c r="G2" s="138"/>
      <c r="H2" s="138" t="s">
        <v>282</v>
      </c>
      <c r="I2" s="138" t="s">
        <v>282</v>
      </c>
      <c r="Q2" s="154" t="s">
        <v>295</v>
      </c>
      <c r="R2" s="154" t="s">
        <v>282</v>
      </c>
      <c r="S2" s="154">
        <v>2017</v>
      </c>
      <c r="T2" s="154">
        <v>2016</v>
      </c>
      <c r="U2" s="154">
        <v>2015</v>
      </c>
      <c r="AF2" s="154" t="s">
        <v>282</v>
      </c>
    </row>
    <row r="3" spans="2:38" x14ac:dyDescent="0.25">
      <c r="B3" s="137" t="s">
        <v>498</v>
      </c>
      <c r="C3" s="198">
        <f t="shared" ref="C3:G7" si="0">$L3</f>
        <v>500</v>
      </c>
      <c r="D3" s="198">
        <f t="shared" si="0"/>
        <v>500</v>
      </c>
      <c r="E3" s="198">
        <f t="shared" si="0"/>
        <v>500</v>
      </c>
      <c r="F3" s="198">
        <f t="shared" si="0"/>
        <v>500</v>
      </c>
      <c r="G3" s="198">
        <f>$L3</f>
        <v>500</v>
      </c>
      <c r="H3" s="198">
        <v>500</v>
      </c>
      <c r="I3" s="198">
        <v>500</v>
      </c>
      <c r="J3" s="159">
        <v>500</v>
      </c>
      <c r="K3" s="159">
        <v>500</v>
      </c>
      <c r="L3" s="157">
        <f>AVERAGE(H3:K3)</f>
        <v>500</v>
      </c>
      <c r="M3" s="157"/>
      <c r="N3" s="154" t="s">
        <v>1011</v>
      </c>
      <c r="O3" s="165" t="s">
        <v>1041</v>
      </c>
      <c r="Q3" s="154" t="s">
        <v>698</v>
      </c>
      <c r="R3" s="154" t="s">
        <v>282</v>
      </c>
      <c r="S3" s="155">
        <f>SUM(S5:S6)</f>
        <v>1</v>
      </c>
      <c r="T3" s="155">
        <f>SUM(T5:T6)</f>
        <v>4</v>
      </c>
      <c r="U3" s="155">
        <f>SUM(U5:U6)</f>
        <v>4</v>
      </c>
      <c r="AF3" s="154" t="s">
        <v>282</v>
      </c>
      <c r="AJ3" s="154" t="s">
        <v>282</v>
      </c>
    </row>
    <row r="4" spans="2:38" x14ac:dyDescent="0.25">
      <c r="B4" s="137" t="s">
        <v>499</v>
      </c>
      <c r="C4" s="198">
        <f t="shared" si="0"/>
        <v>58</v>
      </c>
      <c r="D4" s="198">
        <f t="shared" si="0"/>
        <v>58</v>
      </c>
      <c r="E4" s="198">
        <f t="shared" si="0"/>
        <v>58</v>
      </c>
      <c r="F4" s="198">
        <f t="shared" si="0"/>
        <v>58</v>
      </c>
      <c r="G4" s="198">
        <f t="shared" si="0"/>
        <v>58</v>
      </c>
      <c r="H4" s="199">
        <v>58</v>
      </c>
      <c r="I4" s="199">
        <v>58</v>
      </c>
      <c r="J4" s="159">
        <v>58</v>
      </c>
      <c r="K4" s="159">
        <v>58</v>
      </c>
      <c r="L4" s="157">
        <f t="shared" ref="L4:L7" si="1">AVERAGE(H4:K4)</f>
        <v>58</v>
      </c>
      <c r="M4" s="157"/>
      <c r="N4" s="154" t="s">
        <v>1011</v>
      </c>
      <c r="O4" s="165" t="s">
        <v>1041</v>
      </c>
      <c r="Q4" s="154" t="s">
        <v>695</v>
      </c>
      <c r="R4" s="154" t="s">
        <v>282</v>
      </c>
      <c r="AD4" s="154" t="s">
        <v>282</v>
      </c>
      <c r="AE4" s="154" t="s">
        <v>282</v>
      </c>
      <c r="AF4" s="154" t="s">
        <v>282</v>
      </c>
      <c r="AJ4" s="154" t="s">
        <v>282</v>
      </c>
    </row>
    <row r="5" spans="2:38" x14ac:dyDescent="0.25">
      <c r="B5" s="137" t="s">
        <v>500</v>
      </c>
      <c r="C5" s="198">
        <f t="shared" si="0"/>
        <v>250</v>
      </c>
      <c r="D5" s="198">
        <f t="shared" si="0"/>
        <v>250</v>
      </c>
      <c r="E5" s="198">
        <f t="shared" si="0"/>
        <v>250</v>
      </c>
      <c r="F5" s="198">
        <f t="shared" si="0"/>
        <v>250</v>
      </c>
      <c r="G5" s="198">
        <f t="shared" si="0"/>
        <v>250</v>
      </c>
      <c r="H5" s="199">
        <v>250</v>
      </c>
      <c r="I5" s="199">
        <v>250</v>
      </c>
      <c r="J5" s="159">
        <v>250</v>
      </c>
      <c r="K5" s="159">
        <v>250</v>
      </c>
      <c r="L5" s="157">
        <f t="shared" si="1"/>
        <v>250</v>
      </c>
      <c r="M5" s="157"/>
      <c r="N5" s="154" t="s">
        <v>1011</v>
      </c>
      <c r="O5" s="165" t="s">
        <v>1041</v>
      </c>
      <c r="Q5" s="154" t="s">
        <v>696</v>
      </c>
      <c r="R5" s="154" t="s">
        <v>282</v>
      </c>
      <c r="S5" s="155">
        <v>-7</v>
      </c>
      <c r="T5" s="155">
        <v>-8</v>
      </c>
      <c r="U5" s="154">
        <v>6</v>
      </c>
      <c r="AE5" s="154" t="s">
        <v>282</v>
      </c>
      <c r="AF5" s="154" t="s">
        <v>282</v>
      </c>
      <c r="AI5" s="154" t="s">
        <v>282</v>
      </c>
      <c r="AJ5" s="154" t="s">
        <v>282</v>
      </c>
    </row>
    <row r="6" spans="2:38" x14ac:dyDescent="0.25">
      <c r="B6" s="137" t="s">
        <v>501</v>
      </c>
      <c r="C6" s="198">
        <f t="shared" si="0"/>
        <v>500</v>
      </c>
      <c r="D6" s="198">
        <f t="shared" si="0"/>
        <v>500</v>
      </c>
      <c r="E6" s="198">
        <f t="shared" si="0"/>
        <v>500</v>
      </c>
      <c r="F6" s="198">
        <f t="shared" si="0"/>
        <v>500</v>
      </c>
      <c r="G6" s="198">
        <f t="shared" si="0"/>
        <v>500</v>
      </c>
      <c r="H6" s="199">
        <v>500</v>
      </c>
      <c r="I6" s="199">
        <v>500</v>
      </c>
      <c r="J6" s="159">
        <v>500</v>
      </c>
      <c r="K6" s="159">
        <v>500</v>
      </c>
      <c r="L6" s="157">
        <f t="shared" si="1"/>
        <v>500</v>
      </c>
      <c r="M6" s="157"/>
      <c r="N6" s="154" t="s">
        <v>1011</v>
      </c>
      <c r="O6" s="165" t="s">
        <v>1041</v>
      </c>
      <c r="Q6" s="154" t="s">
        <v>697</v>
      </c>
      <c r="S6" s="154">
        <v>8</v>
      </c>
      <c r="T6" s="154">
        <v>12</v>
      </c>
      <c r="U6" s="155">
        <v>-2</v>
      </c>
    </row>
    <row r="7" spans="2:38" x14ac:dyDescent="0.25">
      <c r="B7" s="137" t="s">
        <v>701</v>
      </c>
      <c r="C7" s="198">
        <f t="shared" si="0"/>
        <v>165</v>
      </c>
      <c r="D7" s="198">
        <f t="shared" si="0"/>
        <v>165</v>
      </c>
      <c r="E7" s="198">
        <f t="shared" si="0"/>
        <v>165</v>
      </c>
      <c r="F7" s="198">
        <f t="shared" si="0"/>
        <v>165</v>
      </c>
      <c r="G7" s="198">
        <f t="shared" si="0"/>
        <v>165</v>
      </c>
      <c r="H7" s="199">
        <v>165</v>
      </c>
      <c r="I7" s="199">
        <v>165</v>
      </c>
      <c r="J7" s="159">
        <v>165</v>
      </c>
      <c r="K7" s="159">
        <v>165</v>
      </c>
      <c r="L7" s="157">
        <f t="shared" si="1"/>
        <v>165</v>
      </c>
      <c r="M7" s="157"/>
      <c r="N7" s="154" t="s">
        <v>1011</v>
      </c>
      <c r="O7" s="165" t="s">
        <v>1041</v>
      </c>
    </row>
    <row r="8" spans="2:38" x14ac:dyDescent="0.25">
      <c r="B8" s="154" t="s">
        <v>704</v>
      </c>
      <c r="C8" s="159">
        <v>0</v>
      </c>
      <c r="D8" s="159">
        <v>0</v>
      </c>
      <c r="E8" s="159">
        <v>0</v>
      </c>
      <c r="F8" s="159">
        <v>0</v>
      </c>
      <c r="G8" s="159">
        <v>0</v>
      </c>
      <c r="H8" s="159"/>
      <c r="I8" s="159"/>
      <c r="J8" s="159">
        <v>0</v>
      </c>
      <c r="K8" s="159">
        <v>3</v>
      </c>
      <c r="L8" s="154">
        <v>0</v>
      </c>
      <c r="N8" s="154" t="s">
        <v>1037</v>
      </c>
      <c r="O8" s="154" t="s">
        <v>1042</v>
      </c>
      <c r="X8" s="154">
        <v>2018</v>
      </c>
      <c r="Y8" s="154">
        <v>2019</v>
      </c>
      <c r="Z8" s="154">
        <v>2020</v>
      </c>
      <c r="AA8" s="154">
        <v>2021</v>
      </c>
    </row>
    <row r="9" spans="2:38" x14ac:dyDescent="0.25">
      <c r="B9" s="137" t="s">
        <v>1077</v>
      </c>
      <c r="C9" s="276">
        <f t="shared" ref="C9:K9" si="2">SUBTOTAL(9,C10:C11)</f>
        <v>11.453502937905853</v>
      </c>
      <c r="D9" s="276">
        <f t="shared" si="2"/>
        <v>27.913703822334327</v>
      </c>
      <c r="E9" s="276">
        <f t="shared" si="2"/>
        <v>54.326570508713701</v>
      </c>
      <c r="F9" s="276">
        <f t="shared" si="2"/>
        <v>-226.7650060981556</v>
      </c>
      <c r="G9" s="276">
        <f t="shared" si="2"/>
        <v>-225.33739801618748</v>
      </c>
      <c r="H9" s="276">
        <f t="shared" si="2"/>
        <v>76</v>
      </c>
      <c r="I9" s="276">
        <f t="shared" si="2"/>
        <v>51</v>
      </c>
      <c r="J9" s="276">
        <f t="shared" si="2"/>
        <v>55</v>
      </c>
      <c r="K9" s="276">
        <f t="shared" si="2"/>
        <v>31</v>
      </c>
    </row>
    <row r="10" spans="2:38" x14ac:dyDescent="0.25">
      <c r="B10" s="160" t="s">
        <v>1079</v>
      </c>
      <c r="C10" s="276">
        <f>Financing!C7+D10</f>
        <v>-126.9464970620956</v>
      </c>
      <c r="D10" s="276">
        <f>Financing!D7+E10</f>
        <v>-97.386296177664946</v>
      </c>
      <c r="E10" s="276">
        <f>Financing!E7+F10</f>
        <v>-57.873429491287027</v>
      </c>
      <c r="F10" s="276">
        <f>Financing!F7+G10</f>
        <v>-325.86500609815414</v>
      </c>
      <c r="G10" s="276">
        <f>Financing!G7</f>
        <v>-311.33739801618748</v>
      </c>
      <c r="H10" s="159"/>
      <c r="I10" s="159"/>
      <c r="J10" s="159"/>
      <c r="K10" s="159"/>
    </row>
    <row r="11" spans="2:38" x14ac:dyDescent="0.25">
      <c r="B11" s="293" t="s">
        <v>1078</v>
      </c>
      <c r="C11" s="198">
        <f t="shared" ref="C11:F13" si="3">$L11*C$1+$M11</f>
        <v>138.40000000000146</v>
      </c>
      <c r="D11" s="198">
        <f t="shared" si="3"/>
        <v>125.29999999999927</v>
      </c>
      <c r="E11" s="198">
        <f t="shared" si="3"/>
        <v>112.20000000000073</v>
      </c>
      <c r="F11" s="198">
        <f t="shared" si="3"/>
        <v>99.099999999998545</v>
      </c>
      <c r="G11" s="198">
        <f>$L11*G$1+$M11</f>
        <v>86</v>
      </c>
      <c r="H11" s="199">
        <v>76</v>
      </c>
      <c r="I11" s="199">
        <v>51</v>
      </c>
      <c r="J11" s="159">
        <v>55</v>
      </c>
      <c r="K11" s="159">
        <v>31</v>
      </c>
      <c r="L11" s="154">
        <f>SLOPE(H11:K11, $H$1:$K$1)</f>
        <v>13.1</v>
      </c>
      <c r="M11" s="154">
        <f>INTERCEPT(H11:K11, $H$1:$K$1)</f>
        <v>-26349.8</v>
      </c>
      <c r="N11" s="154" t="s">
        <v>1020</v>
      </c>
      <c r="O11" s="154" t="s">
        <v>1076</v>
      </c>
      <c r="W11" s="154" t="s">
        <v>703</v>
      </c>
      <c r="X11" s="154">
        <v>63</v>
      </c>
      <c r="Y11" s="154">
        <v>50</v>
      </c>
      <c r="Z11" s="154">
        <v>12</v>
      </c>
      <c r="AA11" s="154">
        <v>6</v>
      </c>
    </row>
    <row r="12" spans="2:38" x14ac:dyDescent="0.25">
      <c r="B12" s="137" t="s">
        <v>503</v>
      </c>
      <c r="C12" s="198">
        <f t="shared" si="3"/>
        <v>-46.099999999999909</v>
      </c>
      <c r="D12" s="198">
        <f t="shared" si="3"/>
        <v>-47.699999999999818</v>
      </c>
      <c r="E12" s="198">
        <f t="shared" si="3"/>
        <v>-49.300000000000182</v>
      </c>
      <c r="F12" s="198">
        <f t="shared" si="3"/>
        <v>-50.900000000000091</v>
      </c>
      <c r="G12" s="198">
        <f>$L12*G$1+$M12</f>
        <v>-52.5</v>
      </c>
      <c r="H12" s="200">
        <v>-54</v>
      </c>
      <c r="I12" s="200">
        <v>-56</v>
      </c>
      <c r="J12" s="159">
        <v>-57</v>
      </c>
      <c r="K12" s="159">
        <v>-59</v>
      </c>
      <c r="L12" s="154">
        <f>SLOPE(H12:K12, $H$1:$K$1)</f>
        <v>1.6</v>
      </c>
      <c r="M12" s="154">
        <f>INTERCEPT(H12:K12, $H$1:$K$1)</f>
        <v>-3281.3</v>
      </c>
      <c r="N12" s="154" t="s">
        <v>1020</v>
      </c>
    </row>
    <row r="13" spans="2:38" x14ac:dyDescent="0.25">
      <c r="B13" s="137" t="s">
        <v>504</v>
      </c>
      <c r="C13" s="198">
        <f t="shared" si="3"/>
        <v>-16.400000000001455</v>
      </c>
      <c r="D13" s="198">
        <f t="shared" si="3"/>
        <v>-5.7999999999992724</v>
      </c>
      <c r="E13" s="198">
        <f t="shared" si="3"/>
        <v>4.7999999999992724</v>
      </c>
      <c r="F13" s="198">
        <f t="shared" si="3"/>
        <v>15.400000000001455</v>
      </c>
      <c r="G13" s="198">
        <f>$L13*G$1+$M13</f>
        <v>26</v>
      </c>
      <c r="H13" s="199">
        <v>35</v>
      </c>
      <c r="I13" s="199">
        <v>47</v>
      </c>
      <c r="J13" s="159">
        <v>63</v>
      </c>
      <c r="K13" s="159">
        <v>65</v>
      </c>
      <c r="L13" s="154">
        <f>SLOPE(H13:K13, $H$1:$K$1)</f>
        <v>-10.6</v>
      </c>
      <c r="M13" s="154">
        <f>INTERCEPT(H13:K13, $H$1:$K$1)</f>
        <v>21416.799999999999</v>
      </c>
      <c r="N13" s="154" t="s">
        <v>1020</v>
      </c>
    </row>
    <row r="14" spans="2:38" x14ac:dyDescent="0.25">
      <c r="B14" s="137" t="s">
        <v>505</v>
      </c>
      <c r="C14" s="199">
        <f>D14*$L14</f>
        <v>209.68252277699003</v>
      </c>
      <c r="D14" s="199">
        <f>E14*$L14</f>
        <v>187.84812329388188</v>
      </c>
      <c r="E14" s="199">
        <f>F14*$L14</f>
        <v>168.28735632183904</v>
      </c>
      <c r="F14" s="199">
        <f>G14*$L14</f>
        <v>150.76346679006724</v>
      </c>
      <c r="G14" s="199">
        <f>H14*$L14</f>
        <v>135.06435311212999</v>
      </c>
      <c r="H14" s="199">
        <v>121</v>
      </c>
      <c r="I14" s="199">
        <v>88</v>
      </c>
      <c r="J14" s="159">
        <v>81</v>
      </c>
      <c r="K14" s="159">
        <v>87</v>
      </c>
      <c r="L14" s="154">
        <f>(H14/K14)^(1/3)</f>
        <v>1.1162343232407437</v>
      </c>
      <c r="N14" s="154" t="s">
        <v>1043</v>
      </c>
      <c r="AL14" s="155"/>
    </row>
    <row r="15" spans="2:38" x14ac:dyDescent="0.25">
      <c r="B15" s="139" t="s">
        <v>506</v>
      </c>
      <c r="C15" s="199">
        <f t="shared" ref="C15:K15" si="4">SUBTOTAL(9,C3:C14)</f>
        <v>1631.6360257148945</v>
      </c>
      <c r="D15" s="199">
        <f t="shared" si="4"/>
        <v>1635.2618271162171</v>
      </c>
      <c r="E15" s="199">
        <f t="shared" si="4"/>
        <v>1651.1139268305519</v>
      </c>
      <c r="F15" s="199">
        <f t="shared" si="4"/>
        <v>1361.4984606919131</v>
      </c>
      <c r="G15" s="199">
        <f t="shared" si="4"/>
        <v>1356.2269550959425</v>
      </c>
      <c r="H15" s="199">
        <f t="shared" si="4"/>
        <v>1651</v>
      </c>
      <c r="I15" s="199">
        <f t="shared" si="4"/>
        <v>1603</v>
      </c>
      <c r="J15" s="199">
        <f t="shared" si="4"/>
        <v>1615</v>
      </c>
      <c r="K15" s="199">
        <f t="shared" si="4"/>
        <v>1600</v>
      </c>
    </row>
    <row r="16" spans="2:38" x14ac:dyDescent="0.25">
      <c r="B16" s="139"/>
      <c r="C16" s="199"/>
      <c r="D16" s="199"/>
      <c r="E16" s="199"/>
      <c r="F16" s="199"/>
      <c r="G16" s="199"/>
      <c r="H16" s="199"/>
      <c r="I16" s="199"/>
      <c r="J16" s="199"/>
      <c r="K16" s="199"/>
    </row>
    <row r="17" spans="2:15" x14ac:dyDescent="0.25">
      <c r="B17" s="139"/>
      <c r="C17" s="199"/>
      <c r="D17" s="199"/>
      <c r="E17" s="199"/>
      <c r="F17" s="199"/>
      <c r="G17" s="199"/>
      <c r="H17" s="199"/>
      <c r="I17" s="199"/>
      <c r="J17" s="199"/>
      <c r="K17" s="199"/>
    </row>
    <row r="19" spans="2:15" x14ac:dyDescent="0.25">
      <c r="B19" s="137" t="s">
        <v>630</v>
      </c>
      <c r="C19" s="198">
        <f t="shared" ref="C19:G19" si="5">$L19*C$1+$M19</f>
        <v>115.40000000000146</v>
      </c>
      <c r="D19" s="198">
        <f t="shared" si="5"/>
        <v>103.79999999999927</v>
      </c>
      <c r="E19" s="198">
        <f t="shared" si="5"/>
        <v>92.200000000000728</v>
      </c>
      <c r="F19" s="198">
        <f t="shared" si="5"/>
        <v>80.599999999998545</v>
      </c>
      <c r="G19" s="198">
        <f t="shared" si="5"/>
        <v>69</v>
      </c>
      <c r="H19" s="199">
        <v>63</v>
      </c>
      <c r="I19" s="199">
        <v>35</v>
      </c>
      <c r="J19" s="159">
        <v>39</v>
      </c>
      <c r="K19" s="159">
        <v>23</v>
      </c>
      <c r="L19" s="154">
        <f>SLOPE(H19:K19, $H$1:$K$1)</f>
        <v>11.6</v>
      </c>
      <c r="M19" s="154">
        <f>INTERCEPT(H19:K19, $H$1:$K$1)</f>
        <v>-23339.8</v>
      </c>
      <c r="N19" s="154" t="s">
        <v>1020</v>
      </c>
    </row>
    <row r="20" spans="2:15" x14ac:dyDescent="0.25">
      <c r="B20" s="137" t="s">
        <v>8</v>
      </c>
      <c r="C20" s="198">
        <f t="shared" ref="C20:I20" si="6">C15-C19</f>
        <v>1516.236025714893</v>
      </c>
      <c r="D20" s="198">
        <f t="shared" si="6"/>
        <v>1531.4618271162178</v>
      </c>
      <c r="E20" s="198">
        <f t="shared" si="6"/>
        <v>1558.9139268305512</v>
      </c>
      <c r="F20" s="198">
        <f t="shared" si="6"/>
        <v>1280.8984606919146</v>
      </c>
      <c r="G20" s="198">
        <f t="shared" si="6"/>
        <v>1287.2269550959425</v>
      </c>
      <c r="H20" s="198">
        <f t="shared" si="6"/>
        <v>1588</v>
      </c>
      <c r="I20" s="198">
        <f t="shared" si="6"/>
        <v>1568</v>
      </c>
      <c r="J20" s="159">
        <v>1576</v>
      </c>
      <c r="K20" s="159">
        <v>1577</v>
      </c>
    </row>
    <row r="21" spans="2:15" x14ac:dyDescent="0.25">
      <c r="B21" s="137" t="s">
        <v>533</v>
      </c>
      <c r="C21" s="294">
        <f t="shared" ref="C21:J21" si="7">C20-D20</f>
        <v>-15.225801401324816</v>
      </c>
      <c r="D21" s="294">
        <f t="shared" si="7"/>
        <v>-27.452099714333372</v>
      </c>
      <c r="E21" s="294">
        <f t="shared" si="7"/>
        <v>278.01546613863661</v>
      </c>
      <c r="F21" s="294">
        <f t="shared" si="7"/>
        <v>-6.3284944040278788</v>
      </c>
      <c r="G21" s="294">
        <f t="shared" si="7"/>
        <v>-300.77304490405754</v>
      </c>
      <c r="H21" s="294">
        <f t="shared" si="7"/>
        <v>20</v>
      </c>
      <c r="I21" s="294">
        <f t="shared" si="7"/>
        <v>-8</v>
      </c>
      <c r="J21" s="294">
        <f t="shared" si="7"/>
        <v>-1</v>
      </c>
      <c r="K21" s="159"/>
    </row>
    <row r="22" spans="2:15" x14ac:dyDescent="0.25">
      <c r="B22" s="154" t="s">
        <v>404</v>
      </c>
      <c r="C22" s="198">
        <f t="shared" ref="C22:G22" si="8">$L22*C$1+$M22</f>
        <v>139.66666666666424</v>
      </c>
      <c r="D22" s="198">
        <f t="shared" si="8"/>
        <v>123.16666666666424</v>
      </c>
      <c r="E22" s="198">
        <f t="shared" si="8"/>
        <v>106.66666666666424</v>
      </c>
      <c r="F22" s="198">
        <f t="shared" si="8"/>
        <v>90.166666666664241</v>
      </c>
      <c r="G22" s="198">
        <f t="shared" si="8"/>
        <v>73.666666666664241</v>
      </c>
      <c r="H22" s="159">
        <v>57</v>
      </c>
      <c r="I22" s="159">
        <v>41</v>
      </c>
      <c r="J22" s="159">
        <v>24</v>
      </c>
      <c r="K22" s="159">
        <v>86</v>
      </c>
      <c r="L22" s="154">
        <f>SLOPE(H22:J22, $H$1:$J$1)</f>
        <v>16.5</v>
      </c>
      <c r="M22" s="154">
        <f>INTERCEPT(H22:J22, $H$1:$J$1)</f>
        <v>-33223.333333333336</v>
      </c>
      <c r="N22" s="154" t="s">
        <v>1044</v>
      </c>
      <c r="O22" s="154" t="s">
        <v>1047</v>
      </c>
    </row>
    <row r="23" spans="2:15" x14ac:dyDescent="0.25">
      <c r="B23" s="154" t="s">
        <v>702</v>
      </c>
      <c r="C23" s="295"/>
      <c r="D23" s="295"/>
      <c r="E23" s="295"/>
      <c r="F23" s="295"/>
      <c r="G23" s="295"/>
      <c r="H23" s="295">
        <v>3.0099999999999998E-2</v>
      </c>
      <c r="I23" s="295">
        <v>4.2000000000000003E-2</v>
      </c>
      <c r="J23" s="295">
        <v>3.6499999999999998E-2</v>
      </c>
      <c r="K23" s="159"/>
    </row>
    <row r="24" spans="2:15" x14ac:dyDescent="0.25">
      <c r="B24" s="154" t="s">
        <v>707</v>
      </c>
      <c r="C24" s="198">
        <f t="shared" ref="C24:G24" si="9">$L24*C$1+$M24</f>
        <v>728</v>
      </c>
      <c r="D24" s="198">
        <f t="shared" si="9"/>
        <v>642</v>
      </c>
      <c r="E24" s="198">
        <f t="shared" si="9"/>
        <v>556</v>
      </c>
      <c r="F24" s="198">
        <f t="shared" si="9"/>
        <v>470</v>
      </c>
      <c r="G24" s="198">
        <f t="shared" si="9"/>
        <v>384</v>
      </c>
      <c r="H24" s="154">
        <v>298</v>
      </c>
      <c r="I24" s="154">
        <v>212</v>
      </c>
      <c r="J24" s="154">
        <v>0</v>
      </c>
      <c r="K24" s="154">
        <v>0</v>
      </c>
      <c r="L24" s="154">
        <f>SLOPE(H24:I24, $H$1:$I$1)</f>
        <v>86</v>
      </c>
      <c r="M24" s="154">
        <f>INTERCEPT(H24:I24, $H$1:$I$1)</f>
        <v>-173164</v>
      </c>
      <c r="N24" s="154" t="s">
        <v>1045</v>
      </c>
      <c r="O24" s="154" t="s">
        <v>1046</v>
      </c>
    </row>
    <row r="25" spans="2:15" x14ac:dyDescent="0.25">
      <c r="B25" s="154" t="s">
        <v>702</v>
      </c>
      <c r="C25" s="156"/>
      <c r="D25" s="156"/>
      <c r="E25" s="156"/>
      <c r="F25" s="156"/>
      <c r="G25" s="156"/>
      <c r="H25" s="156">
        <v>1.5599999999999999E-2</v>
      </c>
      <c r="I25" s="156"/>
      <c r="J25" s="156"/>
    </row>
    <row r="27" spans="2:15" x14ac:dyDescent="0.25">
      <c r="B27" s="154" t="s">
        <v>282</v>
      </c>
      <c r="H27" s="154" t="s">
        <v>384</v>
      </c>
    </row>
    <row r="28" spans="2:15" x14ac:dyDescent="0.25">
      <c r="B28" s="154" t="s">
        <v>295</v>
      </c>
      <c r="H28" s="154">
        <v>2017</v>
      </c>
      <c r="I28" s="154">
        <v>2016</v>
      </c>
      <c r="J28" s="154">
        <v>2015</v>
      </c>
    </row>
    <row r="29" spans="2:15" x14ac:dyDescent="0.25">
      <c r="B29" s="154" t="s">
        <v>699</v>
      </c>
      <c r="H29" s="154">
        <v>2301</v>
      </c>
      <c r="I29" s="154">
        <v>2077</v>
      </c>
    </row>
    <row r="31" spans="2:15" x14ac:dyDescent="0.25">
      <c r="B31" s="154" t="s">
        <v>700</v>
      </c>
      <c r="H31" s="154">
        <f>SUBTOTAL(9,H32:H35)</f>
        <v>2006</v>
      </c>
      <c r="I31" s="154">
        <f t="shared" ref="I31:J31" si="10">SUBTOTAL(9,I32:I35)</f>
        <v>1856</v>
      </c>
      <c r="J31" s="154">
        <f t="shared" si="10"/>
        <v>1639</v>
      </c>
    </row>
    <row r="32" spans="2:15" x14ac:dyDescent="0.25">
      <c r="B32" s="161" t="s">
        <v>706</v>
      </c>
      <c r="H32" s="162">
        <f t="shared" ref="H32:J33" si="11">H19</f>
        <v>63</v>
      </c>
      <c r="I32" s="162">
        <f t="shared" si="11"/>
        <v>35</v>
      </c>
      <c r="J32" s="162">
        <f t="shared" si="11"/>
        <v>39</v>
      </c>
    </row>
    <row r="33" spans="1:15" x14ac:dyDescent="0.25">
      <c r="B33" s="161" t="s">
        <v>8</v>
      </c>
      <c r="H33" s="162">
        <f t="shared" si="11"/>
        <v>1588</v>
      </c>
      <c r="I33" s="162">
        <f t="shared" si="11"/>
        <v>1568</v>
      </c>
      <c r="J33" s="162">
        <f t="shared" si="11"/>
        <v>1576</v>
      </c>
    </row>
    <row r="34" spans="1:15" x14ac:dyDescent="0.25">
      <c r="B34" s="161" t="s">
        <v>404</v>
      </c>
      <c r="H34" s="154">
        <f>H22</f>
        <v>57</v>
      </c>
      <c r="I34" s="154">
        <f>I22</f>
        <v>41</v>
      </c>
      <c r="J34" s="154">
        <f>J22</f>
        <v>24</v>
      </c>
    </row>
    <row r="35" spans="1:15" x14ac:dyDescent="0.25">
      <c r="B35" s="161" t="s">
        <v>707</v>
      </c>
      <c r="H35" s="154">
        <f>H24</f>
        <v>298</v>
      </c>
      <c r="I35" s="154">
        <f>I24</f>
        <v>212</v>
      </c>
      <c r="J35" s="154">
        <f>J24</f>
        <v>0</v>
      </c>
    </row>
    <row r="38" spans="1:15" x14ac:dyDescent="0.25">
      <c r="B38" s="160" t="s">
        <v>708</v>
      </c>
      <c r="C38" s="166">
        <f t="shared" ref="C38:G38" si="12">SUBTOTAL(9,C39:C46)</f>
        <v>88.276299999999992</v>
      </c>
      <c r="D38" s="166">
        <f t="shared" si="12"/>
        <v>86.934699999999992</v>
      </c>
      <c r="E38" s="166">
        <f t="shared" si="12"/>
        <v>85.593099999999993</v>
      </c>
      <c r="F38" s="166">
        <f t="shared" si="12"/>
        <v>84.251499999999993</v>
      </c>
      <c r="G38" s="166">
        <f t="shared" si="12"/>
        <v>82.909899999999993</v>
      </c>
      <c r="H38" s="166">
        <f>SUBTOTAL(9,H39:H46)</f>
        <v>83.283999999999992</v>
      </c>
      <c r="I38" s="166">
        <f t="shared" ref="I38:J38" si="13">SUBTOTAL(9,I39:I46)</f>
        <v>81.948699999999988</v>
      </c>
      <c r="J38" s="166">
        <f t="shared" si="13"/>
        <v>77.795500000000004</v>
      </c>
    </row>
    <row r="39" spans="1:15" x14ac:dyDescent="0.25">
      <c r="B39" s="161" t="s">
        <v>711</v>
      </c>
      <c r="C39" s="166">
        <f t="shared" ref="C39:G39" si="14">SUBTOTAL(9,C40:C44)</f>
        <v>76.919499999999999</v>
      </c>
      <c r="D39" s="166">
        <f t="shared" si="14"/>
        <v>76.919499999999999</v>
      </c>
      <c r="E39" s="166">
        <f t="shared" si="14"/>
        <v>76.919499999999999</v>
      </c>
      <c r="F39" s="166">
        <f t="shared" si="14"/>
        <v>76.919499999999999</v>
      </c>
      <c r="G39" s="166">
        <f t="shared" si="14"/>
        <v>76.919499999999999</v>
      </c>
      <c r="H39" s="166">
        <f>SUBTOTAL(9,H40:H44)</f>
        <v>76.919499999999999</v>
      </c>
      <c r="I39" s="166">
        <f t="shared" ref="I39:J39" si="15">SUBTOTAL(9,I40:I44)</f>
        <v>76.919499999999999</v>
      </c>
      <c r="J39" s="166">
        <f t="shared" si="15"/>
        <v>76.919499999999999</v>
      </c>
    </row>
    <row r="40" spans="1:15" x14ac:dyDescent="0.25">
      <c r="A40" s="156">
        <v>3.6499999999999998E-2</v>
      </c>
      <c r="B40" s="123" t="s">
        <v>709</v>
      </c>
      <c r="C40" s="166">
        <f t="shared" ref="C40:J44" si="16">$A40*C3</f>
        <v>18.25</v>
      </c>
      <c r="D40" s="166">
        <f t="shared" si="16"/>
        <v>18.25</v>
      </c>
      <c r="E40" s="166">
        <f t="shared" si="16"/>
        <v>18.25</v>
      </c>
      <c r="F40" s="166">
        <f t="shared" si="16"/>
        <v>18.25</v>
      </c>
      <c r="G40" s="166">
        <f t="shared" si="16"/>
        <v>18.25</v>
      </c>
      <c r="H40" s="166">
        <f t="shared" si="16"/>
        <v>18.25</v>
      </c>
      <c r="I40" s="166">
        <f t="shared" si="16"/>
        <v>18.25</v>
      </c>
      <c r="J40" s="166">
        <f t="shared" si="16"/>
        <v>18.25</v>
      </c>
    </row>
    <row r="41" spans="1:15" x14ac:dyDescent="0.25">
      <c r="A41" s="156">
        <v>6.7500000000000004E-2</v>
      </c>
      <c r="B41" s="123" t="s">
        <v>710</v>
      </c>
      <c r="C41" s="166">
        <f t="shared" si="16"/>
        <v>3.915</v>
      </c>
      <c r="D41" s="166">
        <f t="shared" si="16"/>
        <v>3.915</v>
      </c>
      <c r="E41" s="166">
        <f t="shared" si="16"/>
        <v>3.915</v>
      </c>
      <c r="F41" s="166">
        <f t="shared" si="16"/>
        <v>3.915</v>
      </c>
      <c r="G41" s="166">
        <f t="shared" si="16"/>
        <v>3.915</v>
      </c>
      <c r="H41" s="166">
        <f t="shared" si="16"/>
        <v>3.915</v>
      </c>
      <c r="I41" s="166">
        <f t="shared" si="16"/>
        <v>3.915</v>
      </c>
      <c r="J41" s="166">
        <f t="shared" si="16"/>
        <v>3.915</v>
      </c>
    </row>
    <row r="42" spans="1:15" x14ac:dyDescent="0.25">
      <c r="A42" s="156">
        <v>7.2150000000000006E-2</v>
      </c>
      <c r="B42" s="123" t="s">
        <v>710</v>
      </c>
      <c r="C42" s="166">
        <f t="shared" si="16"/>
        <v>18.037500000000001</v>
      </c>
      <c r="D42" s="166">
        <f t="shared" si="16"/>
        <v>18.037500000000001</v>
      </c>
      <c r="E42" s="166">
        <f t="shared" si="16"/>
        <v>18.037500000000001</v>
      </c>
      <c r="F42" s="166">
        <f t="shared" si="16"/>
        <v>18.037500000000001</v>
      </c>
      <c r="G42" s="166">
        <f t="shared" si="16"/>
        <v>18.037500000000001</v>
      </c>
      <c r="H42" s="166">
        <f t="shared" si="16"/>
        <v>18.037500000000001</v>
      </c>
      <c r="I42" s="166">
        <f t="shared" si="16"/>
        <v>18.037500000000001</v>
      </c>
      <c r="J42" s="166">
        <f t="shared" si="16"/>
        <v>18.037500000000001</v>
      </c>
    </row>
    <row r="43" spans="1:15" x14ac:dyDescent="0.25">
      <c r="A43" s="156">
        <v>4.8750000000000002E-2</v>
      </c>
      <c r="B43" s="123" t="s">
        <v>709</v>
      </c>
      <c r="C43" s="166">
        <f t="shared" si="16"/>
        <v>24.375</v>
      </c>
      <c r="D43" s="166">
        <f t="shared" si="16"/>
        <v>24.375</v>
      </c>
      <c r="E43" s="166">
        <f t="shared" si="16"/>
        <v>24.375</v>
      </c>
      <c r="F43" s="166">
        <f t="shared" si="16"/>
        <v>24.375</v>
      </c>
      <c r="G43" s="166">
        <f t="shared" si="16"/>
        <v>24.375</v>
      </c>
      <c r="H43" s="166">
        <f t="shared" si="16"/>
        <v>24.375</v>
      </c>
      <c r="I43" s="166">
        <f t="shared" si="16"/>
        <v>24.375</v>
      </c>
      <c r="J43" s="166">
        <f t="shared" si="16"/>
        <v>24.375</v>
      </c>
    </row>
    <row r="44" spans="1:15" x14ac:dyDescent="0.25">
      <c r="A44" s="156">
        <f>0*5.65%+7.48%</f>
        <v>7.4800000000000005E-2</v>
      </c>
      <c r="B44" s="123" t="s">
        <v>710</v>
      </c>
      <c r="C44" s="166">
        <f t="shared" si="16"/>
        <v>12.342000000000001</v>
      </c>
      <c r="D44" s="166">
        <f t="shared" si="16"/>
        <v>12.342000000000001</v>
      </c>
      <c r="E44" s="166">
        <f t="shared" si="16"/>
        <v>12.342000000000001</v>
      </c>
      <c r="F44" s="166">
        <f t="shared" si="16"/>
        <v>12.342000000000001</v>
      </c>
      <c r="G44" s="166">
        <f t="shared" si="16"/>
        <v>12.342000000000001</v>
      </c>
      <c r="H44" s="166">
        <f t="shared" si="16"/>
        <v>12.342000000000001</v>
      </c>
      <c r="I44" s="166">
        <f t="shared" si="16"/>
        <v>12.342000000000001</v>
      </c>
      <c r="J44" s="166">
        <f t="shared" si="16"/>
        <v>12.342000000000001</v>
      </c>
    </row>
    <row r="45" spans="1:15" x14ac:dyDescent="0.25">
      <c r="B45" s="161" t="s">
        <v>404</v>
      </c>
      <c r="C45" s="166">
        <f t="shared" ref="C45:J45" si="17">C22*C23</f>
        <v>0</v>
      </c>
      <c r="D45" s="166">
        <f t="shared" si="17"/>
        <v>0</v>
      </c>
      <c r="E45" s="166">
        <f t="shared" si="17"/>
        <v>0</v>
      </c>
      <c r="F45" s="166">
        <f t="shared" si="17"/>
        <v>0</v>
      </c>
      <c r="G45" s="166">
        <f t="shared" si="17"/>
        <v>0</v>
      </c>
      <c r="H45" s="166">
        <f t="shared" si="17"/>
        <v>1.7157</v>
      </c>
      <c r="I45" s="166">
        <f t="shared" si="17"/>
        <v>1.7220000000000002</v>
      </c>
      <c r="J45" s="166">
        <f t="shared" si="17"/>
        <v>0.87599999999999989</v>
      </c>
    </row>
    <row r="46" spans="1:15" x14ac:dyDescent="0.25">
      <c r="B46" s="161" t="s">
        <v>707</v>
      </c>
      <c r="C46" s="166">
        <f t="shared" ref="C46:J46" si="18">C24*$H25</f>
        <v>11.3568</v>
      </c>
      <c r="D46" s="166">
        <f t="shared" si="18"/>
        <v>10.0152</v>
      </c>
      <c r="E46" s="166">
        <f t="shared" si="18"/>
        <v>8.6736000000000004</v>
      </c>
      <c r="F46" s="166">
        <f t="shared" si="18"/>
        <v>7.3319999999999999</v>
      </c>
      <c r="G46" s="166">
        <f t="shared" si="18"/>
        <v>5.9903999999999993</v>
      </c>
      <c r="H46" s="166">
        <f t="shared" si="18"/>
        <v>4.6487999999999996</v>
      </c>
      <c r="I46" s="166">
        <f t="shared" si="18"/>
        <v>3.3071999999999999</v>
      </c>
      <c r="J46" s="166">
        <f t="shared" si="18"/>
        <v>0</v>
      </c>
    </row>
    <row r="47" spans="1:15" x14ac:dyDescent="0.25">
      <c r="B47" s="160" t="s">
        <v>1050</v>
      </c>
      <c r="C47" s="198">
        <f>$L47+D47</f>
        <v>32</v>
      </c>
      <c r="D47" s="198">
        <f>$L47+E47</f>
        <v>26</v>
      </c>
      <c r="E47" s="198">
        <f>$L47+F47</f>
        <v>20</v>
      </c>
      <c r="F47" s="198">
        <f>$L47+G47</f>
        <v>14</v>
      </c>
      <c r="G47" s="198">
        <f>$L47+H47</f>
        <v>8</v>
      </c>
      <c r="H47" s="159">
        <v>2</v>
      </c>
      <c r="I47" s="159">
        <v>-7</v>
      </c>
      <c r="J47" s="159">
        <v>-10</v>
      </c>
      <c r="L47" s="154">
        <f>SLOPE(H47:J47, $H$1:$J$1)</f>
        <v>6</v>
      </c>
      <c r="N47" s="154" t="s">
        <v>1044</v>
      </c>
      <c r="O47" s="154" t="s">
        <v>1051</v>
      </c>
    </row>
    <row r="48" spans="1:15" x14ac:dyDescent="0.25">
      <c r="A48" s="154" t="s">
        <v>713</v>
      </c>
      <c r="B48" s="154" t="s">
        <v>712</v>
      </c>
      <c r="C48" s="166">
        <f t="shared" ref="C48" si="19">C47+C38</f>
        <v>120.27629999999999</v>
      </c>
      <c r="D48" s="166">
        <f t="shared" ref="D48" si="20">D47+D38</f>
        <v>112.93469999999999</v>
      </c>
      <c r="E48" s="166">
        <f t="shared" ref="E48" si="21">E47+E38</f>
        <v>105.59309999999999</v>
      </c>
      <c r="F48" s="166">
        <f t="shared" ref="F48" si="22">F47+F38</f>
        <v>98.251499999999993</v>
      </c>
      <c r="G48" s="166">
        <f t="shared" ref="G48" si="23">G47+G38</f>
        <v>90.909899999999993</v>
      </c>
      <c r="H48" s="166">
        <f t="shared" ref="H48:I48" si="24">H47+H38</f>
        <v>85.283999999999992</v>
      </c>
      <c r="I48" s="166">
        <f t="shared" si="24"/>
        <v>74.948699999999988</v>
      </c>
      <c r="J48" s="166">
        <f>J47+J38</f>
        <v>67.795500000000004</v>
      </c>
    </row>
    <row r="49" spans="2:15" x14ac:dyDescent="0.25">
      <c r="B49" s="154" t="s">
        <v>714</v>
      </c>
      <c r="C49" s="198">
        <f>$L49+D49</f>
        <v>6.5</v>
      </c>
      <c r="D49" s="198">
        <f>$L49+E49</f>
        <v>6</v>
      </c>
      <c r="E49" s="198">
        <f>$L49+F49</f>
        <v>5.5</v>
      </c>
      <c r="F49" s="198">
        <f>$L49+G49</f>
        <v>5</v>
      </c>
      <c r="G49" s="198">
        <f>$L49+H49</f>
        <v>4.5</v>
      </c>
      <c r="H49" s="159">
        <v>4</v>
      </c>
      <c r="I49" s="159">
        <v>6</v>
      </c>
      <c r="J49" s="159">
        <v>3</v>
      </c>
      <c r="L49" s="154">
        <f>SLOPE(H49:J49, $H$1:$J$1)</f>
        <v>0.5</v>
      </c>
      <c r="N49" s="154" t="s">
        <v>1044</v>
      </c>
      <c r="O49" s="154" t="s">
        <v>1052</v>
      </c>
    </row>
    <row r="50" spans="2:15" x14ac:dyDescent="0.25">
      <c r="B50" s="154" t="s">
        <v>1049</v>
      </c>
      <c r="C50" s="275">
        <f t="shared" ref="C50:G50" si="25">C48-C49</f>
        <v>113.77629999999999</v>
      </c>
      <c r="D50" s="275">
        <f t="shared" si="25"/>
        <v>106.93469999999999</v>
      </c>
      <c r="E50" s="275">
        <f t="shared" si="25"/>
        <v>100.09309999999999</v>
      </c>
      <c r="F50" s="275">
        <f t="shared" si="25"/>
        <v>93.251499999999993</v>
      </c>
      <c r="G50" s="275">
        <f t="shared" si="25"/>
        <v>86.409899999999993</v>
      </c>
      <c r="H50" s="275">
        <f>H48-H49</f>
        <v>81.283999999999992</v>
      </c>
      <c r="I50" s="275">
        <f t="shared" ref="I50:J50" si="26">I48-I49</f>
        <v>68.948699999999988</v>
      </c>
      <c r="J50" s="276">
        <f t="shared" si="26"/>
        <v>64.795500000000004</v>
      </c>
      <c r="K50" s="159">
        <v>64</v>
      </c>
      <c r="L50" s="159">
        <v>41</v>
      </c>
      <c r="M50" s="159"/>
    </row>
    <row r="52" spans="2:15" x14ac:dyDescent="0.25">
      <c r="B52" s="154" t="s">
        <v>1048</v>
      </c>
      <c r="H52" s="116">
        <v>81</v>
      </c>
      <c r="I52" s="116">
        <v>69</v>
      </c>
      <c r="J52" s="116">
        <v>65</v>
      </c>
      <c r="K52" s="116">
        <v>64</v>
      </c>
      <c r="L52" s="116">
        <v>41</v>
      </c>
      <c r="M52" s="116"/>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1FFFC-DC85-47B8-B90C-E525168BAE72}">
  <sheetPr codeName="Sheet22">
    <tabColor theme="8" tint="0.39997558519241921"/>
  </sheetPr>
  <dimension ref="A1:AD152"/>
  <sheetViews>
    <sheetView workbookViewId="0">
      <pane ySplit="1" topLeftCell="A2" activePane="bottomLeft" state="frozen"/>
      <selection pane="bottomLeft" activeCell="A2" sqref="A2"/>
    </sheetView>
  </sheetViews>
  <sheetFormatPr defaultRowHeight="15" x14ac:dyDescent="0.25"/>
  <cols>
    <col min="1" max="1" width="51.7109375" customWidth="1"/>
    <col min="12" max="12" width="9.5703125" bestFit="1" customWidth="1"/>
    <col min="13" max="13" width="10.85546875" bestFit="1" customWidth="1"/>
  </cols>
  <sheetData>
    <row r="1" spans="1:30" x14ac:dyDescent="0.25">
      <c r="A1" s="125" t="s">
        <v>282</v>
      </c>
      <c r="B1" s="115">
        <v>2022</v>
      </c>
      <c r="C1" s="102">
        <v>2021</v>
      </c>
      <c r="D1" s="115">
        <v>2020</v>
      </c>
      <c r="E1" s="102">
        <v>2019</v>
      </c>
      <c r="F1" s="102">
        <v>2018</v>
      </c>
      <c r="G1" s="102">
        <v>2017</v>
      </c>
      <c r="H1" s="115">
        <v>2016</v>
      </c>
      <c r="I1" s="102">
        <v>2015</v>
      </c>
      <c r="J1" s="115">
        <v>2014</v>
      </c>
      <c r="K1" s="115" t="s">
        <v>1028</v>
      </c>
      <c r="L1" s="115" t="s">
        <v>1116</v>
      </c>
      <c r="M1" s="115" t="s">
        <v>1025</v>
      </c>
      <c r="N1" s="6" t="s">
        <v>1002</v>
      </c>
      <c r="O1" s="90" t="s">
        <v>656</v>
      </c>
      <c r="P1" s="150"/>
      <c r="Q1" s="150"/>
      <c r="R1" s="150"/>
      <c r="S1" s="150"/>
      <c r="T1" s="150"/>
      <c r="U1" s="150"/>
      <c r="V1" s="150"/>
      <c r="W1" s="150"/>
      <c r="X1" s="150"/>
    </row>
    <row r="2" spans="1:30" x14ac:dyDescent="0.25">
      <c r="A2" s="125" t="s">
        <v>282</v>
      </c>
      <c r="B2" s="125"/>
      <c r="C2" s="125"/>
      <c r="D2" s="125"/>
      <c r="E2" s="125"/>
      <c r="F2" s="6"/>
      <c r="G2" s="6"/>
      <c r="H2" s="6"/>
      <c r="I2" s="6"/>
      <c r="J2" s="6"/>
      <c r="K2" s="6"/>
      <c r="L2" s="6"/>
      <c r="M2" s="6"/>
      <c r="N2" s="6"/>
      <c r="O2" s="90" t="s">
        <v>405</v>
      </c>
      <c r="P2" s="150"/>
      <c r="Q2" s="150"/>
      <c r="R2" s="150"/>
      <c r="S2" s="4"/>
      <c r="T2" s="90" t="s">
        <v>406</v>
      </c>
      <c r="U2" s="150"/>
      <c r="V2" s="150"/>
      <c r="W2" s="150"/>
      <c r="X2" s="4"/>
    </row>
    <row r="3" spans="1:30" x14ac:dyDescent="0.25">
      <c r="A3" s="125" t="s">
        <v>657</v>
      </c>
      <c r="O3" s="170">
        <v>2017</v>
      </c>
      <c r="P3" s="170">
        <v>2016</v>
      </c>
      <c r="Q3" s="6">
        <v>2015</v>
      </c>
      <c r="R3" s="6">
        <v>2014</v>
      </c>
      <c r="S3" s="4"/>
      <c r="T3" s="170">
        <v>2017</v>
      </c>
      <c r="U3" s="170">
        <v>2016</v>
      </c>
      <c r="V3" s="6">
        <v>2015</v>
      </c>
      <c r="W3" s="6">
        <v>2014</v>
      </c>
      <c r="X3" s="4"/>
    </row>
    <row r="4" spans="1:30" x14ac:dyDescent="0.25">
      <c r="A4" s="125" t="s">
        <v>658</v>
      </c>
      <c r="B4" s="101">
        <f t="shared" ref="B4:F4" si="0">C12</f>
        <v>5092.5999999999985</v>
      </c>
      <c r="C4" s="101">
        <f t="shared" si="0"/>
        <v>4932.0499999999956</v>
      </c>
      <c r="D4" s="101">
        <f t="shared" si="0"/>
        <v>4767.5999999999985</v>
      </c>
      <c r="E4" s="101">
        <f t="shared" si="0"/>
        <v>4599.25</v>
      </c>
      <c r="F4" s="101">
        <f t="shared" si="0"/>
        <v>4427</v>
      </c>
      <c r="G4" s="101">
        <f>H12</f>
        <v>4112</v>
      </c>
      <c r="H4" s="101">
        <f t="shared" ref="H4:H12" si="1">P4+U4</f>
        <v>3923</v>
      </c>
      <c r="I4" s="101">
        <f t="shared" ref="I4:I12" si="2">Q4+V4</f>
        <v>4101</v>
      </c>
      <c r="J4" s="101">
        <f t="shared" ref="J4:J12" si="3">R4+W4</f>
        <v>3690</v>
      </c>
      <c r="K4" s="101"/>
      <c r="L4" s="101"/>
      <c r="M4" s="101"/>
      <c r="N4" s="6"/>
      <c r="O4" s="151">
        <v>2661</v>
      </c>
      <c r="P4" s="151">
        <v>2533</v>
      </c>
      <c r="Q4" s="6">
        <v>2579</v>
      </c>
      <c r="R4" s="6">
        <v>2261</v>
      </c>
      <c r="S4" s="4"/>
      <c r="T4" s="151">
        <v>1451</v>
      </c>
      <c r="U4" s="151">
        <v>1390</v>
      </c>
      <c r="V4" s="6">
        <v>1522</v>
      </c>
      <c r="W4" s="6">
        <v>1429</v>
      </c>
      <c r="X4" s="4"/>
    </row>
    <row r="5" spans="1:30" x14ac:dyDescent="0.25">
      <c r="A5" s="120" t="s">
        <v>659</v>
      </c>
      <c r="B5" s="177">
        <f t="shared" ref="B5:F6" si="4">$K5*B$1+$L5</f>
        <v>196.70000000000073</v>
      </c>
      <c r="C5" s="177">
        <f t="shared" si="4"/>
        <v>183.40000000000146</v>
      </c>
      <c r="D5" s="177">
        <f t="shared" si="4"/>
        <v>170.09999999999854</v>
      </c>
      <c r="E5" s="177">
        <f t="shared" si="4"/>
        <v>156.79999999999927</v>
      </c>
      <c r="F5" s="177">
        <f t="shared" si="4"/>
        <v>143.5</v>
      </c>
      <c r="G5" s="101">
        <f t="shared" ref="G5:G11" si="5">O5+T5</f>
        <v>133</v>
      </c>
      <c r="H5" s="101">
        <f t="shared" si="1"/>
        <v>111</v>
      </c>
      <c r="I5" s="101">
        <f t="shared" si="2"/>
        <v>107</v>
      </c>
      <c r="J5" s="101">
        <f t="shared" si="3"/>
        <v>90</v>
      </c>
      <c r="K5" s="101">
        <f>SLOPE(G5:J5, $G$1:$J$1)</f>
        <v>13.3</v>
      </c>
      <c r="L5" s="101">
        <f>INTERCEPT(G5:J5, $G$1:$J$1)</f>
        <v>-26695.9</v>
      </c>
      <c r="M5" s="101" t="s">
        <v>1020</v>
      </c>
      <c r="N5" s="6"/>
      <c r="O5" s="152">
        <v>107</v>
      </c>
      <c r="P5" s="152">
        <v>90</v>
      </c>
      <c r="Q5" s="6">
        <v>80</v>
      </c>
      <c r="R5" s="6">
        <v>66</v>
      </c>
      <c r="S5" s="4"/>
      <c r="T5" s="152">
        <v>26</v>
      </c>
      <c r="U5" s="152">
        <v>21</v>
      </c>
      <c r="V5" s="6">
        <v>27</v>
      </c>
      <c r="W5" s="6">
        <v>24</v>
      </c>
      <c r="X5" s="4"/>
      <c r="Y5" s="227"/>
      <c r="Z5" s="227"/>
    </row>
    <row r="6" spans="1:30" x14ac:dyDescent="0.25">
      <c r="A6" s="120" t="s">
        <v>660</v>
      </c>
      <c r="B6" s="177">
        <f t="shared" si="4"/>
        <v>115.5</v>
      </c>
      <c r="C6" s="177">
        <f t="shared" si="4"/>
        <v>122</v>
      </c>
      <c r="D6" s="177">
        <f t="shared" si="4"/>
        <v>128.5</v>
      </c>
      <c r="E6" s="177">
        <f t="shared" si="4"/>
        <v>135</v>
      </c>
      <c r="F6" s="177">
        <f t="shared" si="4"/>
        <v>141.5</v>
      </c>
      <c r="G6" s="101">
        <f t="shared" si="5"/>
        <v>146</v>
      </c>
      <c r="H6" s="101">
        <f t="shared" si="1"/>
        <v>159</v>
      </c>
      <c r="I6" s="101">
        <f t="shared" si="2"/>
        <v>158</v>
      </c>
      <c r="J6" s="101">
        <f t="shared" si="3"/>
        <v>168</v>
      </c>
      <c r="K6" s="101">
        <f>SLOPE(G6:J6, $G$1:$J$1)</f>
        <v>-6.5</v>
      </c>
      <c r="L6" s="101">
        <f>INTERCEPT(G6:J6, $G$1:$J$1)</f>
        <v>13258.5</v>
      </c>
      <c r="M6" s="101" t="s">
        <v>1020</v>
      </c>
      <c r="N6" s="6" t="s">
        <v>1036</v>
      </c>
      <c r="O6" s="152">
        <v>106</v>
      </c>
      <c r="P6" s="152">
        <v>109</v>
      </c>
      <c r="Q6" s="6">
        <v>102</v>
      </c>
      <c r="R6" s="6">
        <v>105</v>
      </c>
      <c r="S6" s="4"/>
      <c r="T6" s="152">
        <v>40</v>
      </c>
      <c r="U6" s="152">
        <v>50</v>
      </c>
      <c r="V6" s="6">
        <v>56</v>
      </c>
      <c r="W6" s="6">
        <v>63</v>
      </c>
      <c r="X6" s="4"/>
      <c r="Y6" s="227"/>
      <c r="Z6" s="227"/>
    </row>
    <row r="7" spans="1:30" x14ac:dyDescent="0.25">
      <c r="A7" s="120" t="s">
        <v>661</v>
      </c>
      <c r="B7" s="271">
        <f t="shared" ref="B7:F7" si="6">$K7</f>
        <v>204.25</v>
      </c>
      <c r="C7" s="271">
        <f t="shared" si="6"/>
        <v>204.25</v>
      </c>
      <c r="D7" s="271">
        <f t="shared" si="6"/>
        <v>204.25</v>
      </c>
      <c r="E7" s="271">
        <f t="shared" si="6"/>
        <v>204.25</v>
      </c>
      <c r="F7" s="101">
        <f t="shared" si="6"/>
        <v>204.25</v>
      </c>
      <c r="G7" s="101">
        <f t="shared" si="5"/>
        <v>114</v>
      </c>
      <c r="H7" s="101">
        <f t="shared" si="1"/>
        <v>427</v>
      </c>
      <c r="I7" s="101">
        <f t="shared" si="2"/>
        <v>-164</v>
      </c>
      <c r="J7" s="101">
        <f t="shared" si="3"/>
        <v>440</v>
      </c>
      <c r="K7" s="101">
        <f>AVERAGE(G7:J7)</f>
        <v>204.25</v>
      </c>
      <c r="L7" s="101"/>
      <c r="M7" s="101" t="s">
        <v>1011</v>
      </c>
      <c r="N7" s="6"/>
      <c r="O7" s="152">
        <v>61</v>
      </c>
      <c r="P7" s="152">
        <v>111</v>
      </c>
      <c r="Q7" s="6">
        <v>-76</v>
      </c>
      <c r="R7" s="6">
        <v>301</v>
      </c>
      <c r="S7" s="4"/>
      <c r="T7" s="152">
        <v>53</v>
      </c>
      <c r="U7" s="152">
        <v>316</v>
      </c>
      <c r="V7" s="6">
        <v>-88</v>
      </c>
      <c r="W7" s="6">
        <v>139</v>
      </c>
      <c r="X7" s="4"/>
      <c r="Y7" s="227"/>
      <c r="Z7" s="227"/>
    </row>
    <row r="8" spans="1:30" x14ac:dyDescent="0.25">
      <c r="A8" s="120" t="s">
        <v>662</v>
      </c>
      <c r="B8" s="177">
        <f t="shared" ref="B8:F9" si="7">$K8*B$1+$L8</f>
        <v>-265.29999999999927</v>
      </c>
      <c r="C8" s="177">
        <f t="shared" si="7"/>
        <v>-256.09999999999854</v>
      </c>
      <c r="D8" s="177">
        <f t="shared" si="7"/>
        <v>-246.90000000000146</v>
      </c>
      <c r="E8" s="177">
        <f t="shared" si="7"/>
        <v>-237.70000000000073</v>
      </c>
      <c r="F8" s="177">
        <f t="shared" si="7"/>
        <v>-228.5</v>
      </c>
      <c r="G8" s="101">
        <f t="shared" si="5"/>
        <v>-209</v>
      </c>
      <c r="H8" s="101">
        <f t="shared" si="1"/>
        <v>-230</v>
      </c>
      <c r="I8" s="101">
        <f t="shared" si="2"/>
        <v>-192</v>
      </c>
      <c r="J8" s="101">
        <f t="shared" si="3"/>
        <v>-191</v>
      </c>
      <c r="K8" s="101">
        <f>SLOPE(G8:J8, $G$1:$J$1)</f>
        <v>-9.1999999999999993</v>
      </c>
      <c r="L8" s="101">
        <f>INTERCEPT(G8:J8, $G$1:$J$1)</f>
        <v>18337.099999999999</v>
      </c>
      <c r="M8" s="101" t="s">
        <v>1020</v>
      </c>
      <c r="N8" s="6"/>
      <c r="O8" s="90">
        <v>-155</v>
      </c>
      <c r="P8" s="90">
        <v>-175</v>
      </c>
      <c r="Q8" s="6">
        <v>-139</v>
      </c>
      <c r="R8" s="6">
        <v>-143</v>
      </c>
      <c r="S8" s="4"/>
      <c r="T8" s="90">
        <v>-54</v>
      </c>
      <c r="U8" s="90">
        <v>-55</v>
      </c>
      <c r="V8" s="6">
        <v>-53</v>
      </c>
      <c r="W8" s="6">
        <v>-48</v>
      </c>
      <c r="X8" s="4"/>
      <c r="Y8" s="227"/>
      <c r="Z8" s="227"/>
    </row>
    <row r="9" spans="1:30" x14ac:dyDescent="0.25">
      <c r="A9" s="120" t="s">
        <v>663</v>
      </c>
      <c r="B9" s="177">
        <f t="shared" si="7"/>
        <v>-23.5</v>
      </c>
      <c r="C9" s="177">
        <f t="shared" si="7"/>
        <v>-22</v>
      </c>
      <c r="D9" s="177">
        <f t="shared" si="7"/>
        <v>-20.5</v>
      </c>
      <c r="E9" s="177">
        <f t="shared" si="7"/>
        <v>-19</v>
      </c>
      <c r="F9" s="177">
        <f t="shared" si="7"/>
        <v>-17.5</v>
      </c>
      <c r="G9" s="101">
        <f t="shared" si="5"/>
        <v>-15</v>
      </c>
      <c r="H9" s="101">
        <f t="shared" si="1"/>
        <v>-16</v>
      </c>
      <c r="I9" s="101">
        <f t="shared" si="2"/>
        <v>-13</v>
      </c>
      <c r="J9" s="101">
        <f t="shared" si="3"/>
        <v>-11</v>
      </c>
      <c r="K9" s="101">
        <f>SLOPE(G9:J9, $G$1:$J$1)</f>
        <v>-1.5</v>
      </c>
      <c r="L9" s="101">
        <f>INTERCEPT(G9:J9, $G$1:$J$1)</f>
        <v>3009.5</v>
      </c>
      <c r="M9" s="101" t="s">
        <v>1020</v>
      </c>
      <c r="N9" s="6"/>
      <c r="O9" s="90">
        <v>-15</v>
      </c>
      <c r="P9" s="90">
        <v>-16</v>
      </c>
      <c r="Q9" s="6">
        <v>-13</v>
      </c>
      <c r="R9" s="6">
        <v>-11</v>
      </c>
      <c r="S9" s="4"/>
      <c r="T9" s="90">
        <v>0</v>
      </c>
      <c r="U9" s="90">
        <v>0</v>
      </c>
      <c r="V9" s="6">
        <v>0</v>
      </c>
      <c r="W9" s="6">
        <v>0</v>
      </c>
      <c r="X9" s="4"/>
      <c r="Y9" s="227"/>
      <c r="Z9" s="227"/>
    </row>
    <row r="10" spans="1:30" x14ac:dyDescent="0.25">
      <c r="A10" s="120" t="s">
        <v>664</v>
      </c>
      <c r="B10" s="271">
        <v>0</v>
      </c>
      <c r="C10" s="271">
        <v>0</v>
      </c>
      <c r="D10" s="271">
        <v>0</v>
      </c>
      <c r="E10" s="271">
        <v>0</v>
      </c>
      <c r="F10" s="101">
        <v>0</v>
      </c>
      <c r="G10" s="101">
        <f t="shared" si="5"/>
        <v>0</v>
      </c>
      <c r="H10" s="101">
        <f t="shared" si="1"/>
        <v>9</v>
      </c>
      <c r="I10" s="101">
        <f t="shared" si="2"/>
        <v>0</v>
      </c>
      <c r="J10" s="101">
        <f t="shared" si="3"/>
        <v>0</v>
      </c>
      <c r="K10" s="101">
        <v>0</v>
      </c>
      <c r="L10" s="101"/>
      <c r="M10" s="101" t="s">
        <v>1037</v>
      </c>
      <c r="N10" s="6"/>
      <c r="O10" s="90">
        <v>0</v>
      </c>
      <c r="P10" s="152">
        <v>9</v>
      </c>
      <c r="Q10" s="6"/>
      <c r="R10" s="6"/>
      <c r="S10" s="4"/>
      <c r="T10" s="90">
        <v>0</v>
      </c>
      <c r="U10" s="90">
        <v>0</v>
      </c>
      <c r="V10" s="6"/>
      <c r="W10" s="6"/>
      <c r="X10" s="4"/>
      <c r="Y10" s="227"/>
      <c r="Z10" s="227"/>
    </row>
    <row r="11" spans="1:30" x14ac:dyDescent="0.25">
      <c r="A11" s="120" t="s">
        <v>665</v>
      </c>
      <c r="B11" s="271">
        <f t="shared" ref="B11:F11" si="8">$K11</f>
        <v>-71</v>
      </c>
      <c r="C11" s="271">
        <f t="shared" si="8"/>
        <v>-71</v>
      </c>
      <c r="D11" s="271">
        <f t="shared" si="8"/>
        <v>-71</v>
      </c>
      <c r="E11" s="271">
        <f t="shared" si="8"/>
        <v>-71</v>
      </c>
      <c r="F11" s="101">
        <f t="shared" si="8"/>
        <v>-71</v>
      </c>
      <c r="G11" s="101">
        <f t="shared" si="5"/>
        <v>146</v>
      </c>
      <c r="H11" s="101">
        <f t="shared" si="1"/>
        <v>-271</v>
      </c>
      <c r="I11" s="101">
        <f t="shared" si="2"/>
        <v>-74</v>
      </c>
      <c r="J11" s="101">
        <f t="shared" si="3"/>
        <v>-85</v>
      </c>
      <c r="K11" s="101">
        <f>AVERAGE(G11:J11)</f>
        <v>-71</v>
      </c>
      <c r="L11" s="101"/>
      <c r="M11" s="101" t="s">
        <v>1011</v>
      </c>
      <c r="N11" s="6"/>
      <c r="O11" s="90">
        <v>0</v>
      </c>
      <c r="P11" s="90">
        <v>0</v>
      </c>
      <c r="Q11" s="6">
        <v>0</v>
      </c>
      <c r="R11" s="6">
        <v>0</v>
      </c>
      <c r="S11" s="4"/>
      <c r="T11" s="152">
        <v>146</v>
      </c>
      <c r="U11" s="90">
        <v>-271</v>
      </c>
      <c r="V11" s="6">
        <v>-74</v>
      </c>
      <c r="W11" s="6">
        <v>-85</v>
      </c>
      <c r="X11" s="4"/>
      <c r="Y11" s="227"/>
      <c r="Z11" s="227"/>
      <c r="AA11" s="227"/>
      <c r="AB11" s="227"/>
      <c r="AC11" s="227"/>
      <c r="AD11" s="227"/>
    </row>
    <row r="12" spans="1:30" x14ac:dyDescent="0.25">
      <c r="A12" s="125" t="s">
        <v>666</v>
      </c>
      <c r="B12" s="101">
        <f t="shared" ref="B12:F12" si="9">SUM(B4:B11)</f>
        <v>5249.25</v>
      </c>
      <c r="C12" s="101">
        <f t="shared" si="9"/>
        <v>5092.5999999999985</v>
      </c>
      <c r="D12" s="101">
        <f t="shared" si="9"/>
        <v>4932.0499999999956</v>
      </c>
      <c r="E12" s="101">
        <f t="shared" si="9"/>
        <v>4767.5999999999985</v>
      </c>
      <c r="F12" s="101">
        <f t="shared" si="9"/>
        <v>4599.25</v>
      </c>
      <c r="G12" s="101">
        <f>SUM(G4:G11)</f>
        <v>4427</v>
      </c>
      <c r="H12" s="101">
        <f t="shared" si="1"/>
        <v>4112</v>
      </c>
      <c r="I12" s="101">
        <f t="shared" si="2"/>
        <v>3923</v>
      </c>
      <c r="J12" s="101">
        <f t="shared" si="3"/>
        <v>4101</v>
      </c>
      <c r="K12" s="101"/>
      <c r="L12" s="101"/>
      <c r="M12" s="101"/>
      <c r="N12" s="6"/>
      <c r="O12" s="151">
        <f>SUM(O4:O11)</f>
        <v>2765</v>
      </c>
      <c r="P12" s="151">
        <f>SUM(P4:P11)</f>
        <v>2661</v>
      </c>
      <c r="Q12" s="151">
        <f>SUM(Q4:Q11)</f>
        <v>2533</v>
      </c>
      <c r="R12" s="151">
        <f>SUM(R4:R11)</f>
        <v>2579</v>
      </c>
      <c r="S12" s="4"/>
      <c r="T12" s="151">
        <f>SUM(T4:T11)</f>
        <v>1662</v>
      </c>
      <c r="U12" s="151">
        <f>SUM(U4:U11)</f>
        <v>1451</v>
      </c>
      <c r="V12" s="151">
        <f>SUM(V4:V11)</f>
        <v>1390</v>
      </c>
      <c r="W12" s="151">
        <f>SUM(W4:W11)</f>
        <v>1522</v>
      </c>
      <c r="X12" s="4"/>
      <c r="Y12" s="227"/>
      <c r="Z12" s="227"/>
    </row>
    <row r="13" spans="1:30" x14ac:dyDescent="0.25">
      <c r="A13" s="98"/>
      <c r="B13" s="98"/>
      <c r="C13" s="98"/>
      <c r="D13" s="98"/>
      <c r="E13" s="98"/>
      <c r="F13" s="248"/>
      <c r="G13" s="248"/>
      <c r="H13" s="248"/>
      <c r="I13" s="115"/>
      <c r="J13" s="115"/>
      <c r="K13" s="115"/>
      <c r="L13" s="115"/>
      <c r="M13" s="115"/>
      <c r="N13" s="6"/>
      <c r="O13" s="6"/>
      <c r="P13" s="6"/>
      <c r="Q13" s="6" t="s">
        <v>282</v>
      </c>
      <c r="R13" s="6" t="s">
        <v>282</v>
      </c>
      <c r="S13" s="4"/>
      <c r="T13" s="4"/>
      <c r="U13" s="4"/>
      <c r="V13" s="6" t="s">
        <v>282</v>
      </c>
      <c r="W13" s="6" t="s">
        <v>282</v>
      </c>
      <c r="X13" s="4"/>
    </row>
    <row r="14" spans="1:30" x14ac:dyDescent="0.25">
      <c r="A14" s="125" t="s">
        <v>667</v>
      </c>
      <c r="B14" s="125"/>
      <c r="C14" s="125"/>
      <c r="D14" s="125"/>
      <c r="E14" s="125"/>
      <c r="F14" s="101"/>
      <c r="G14" s="101"/>
      <c r="H14" s="101"/>
      <c r="I14" s="101"/>
      <c r="J14" s="101"/>
      <c r="K14" s="101"/>
      <c r="L14" s="101"/>
      <c r="M14" s="101"/>
      <c r="N14" s="6"/>
      <c r="O14" s="89"/>
      <c r="P14" s="89"/>
      <c r="Q14" s="4"/>
      <c r="R14" s="4"/>
      <c r="S14" s="4"/>
      <c r="T14" s="89"/>
      <c r="U14" s="89"/>
      <c r="V14" s="4"/>
      <c r="W14" s="4"/>
      <c r="X14" s="4"/>
    </row>
    <row r="15" spans="1:30" x14ac:dyDescent="0.25">
      <c r="A15" s="120" t="s">
        <v>668</v>
      </c>
      <c r="B15" s="101">
        <f t="shared" ref="B15:F15" si="10">C20</f>
        <v>6212.5999999999985</v>
      </c>
      <c r="C15" s="101">
        <f t="shared" si="10"/>
        <v>5948.2999999999975</v>
      </c>
      <c r="D15" s="101">
        <f t="shared" si="10"/>
        <v>5679.0999999999985</v>
      </c>
      <c r="E15" s="101">
        <f t="shared" si="10"/>
        <v>5405</v>
      </c>
      <c r="F15" s="101">
        <f t="shared" si="10"/>
        <v>5126</v>
      </c>
      <c r="G15" s="101">
        <f>H20</f>
        <v>4504</v>
      </c>
      <c r="H15" s="101">
        <f t="shared" ref="H15:J15" si="11">I20</f>
        <v>4348</v>
      </c>
      <c r="I15" s="101">
        <f t="shared" si="11"/>
        <v>4437</v>
      </c>
      <c r="J15" s="101">
        <f t="shared" si="11"/>
        <v>3961</v>
      </c>
      <c r="K15" s="101"/>
      <c r="L15" s="101"/>
      <c r="M15" s="101"/>
      <c r="N15" s="6"/>
      <c r="O15" s="151">
        <v>2751</v>
      </c>
      <c r="P15" s="151">
        <v>2636</v>
      </c>
      <c r="Q15" s="6">
        <v>2713</v>
      </c>
      <c r="R15" s="6">
        <v>2445</v>
      </c>
      <c r="S15" s="4"/>
      <c r="T15" s="151">
        <v>1753</v>
      </c>
      <c r="U15" s="151">
        <v>1712</v>
      </c>
      <c r="V15" s="6">
        <v>1724</v>
      </c>
      <c r="W15" s="6">
        <v>1516</v>
      </c>
      <c r="X15" s="4"/>
      <c r="Y15" s="227"/>
      <c r="Z15" s="227"/>
    </row>
    <row r="16" spans="1:30" x14ac:dyDescent="0.25">
      <c r="A16" s="121" t="s">
        <v>669</v>
      </c>
      <c r="B16" s="271">
        <f t="shared" ref="B16:E16" si="12">$K16</f>
        <v>402</v>
      </c>
      <c r="C16" s="271">
        <f t="shared" si="12"/>
        <v>402</v>
      </c>
      <c r="D16" s="271">
        <f t="shared" si="12"/>
        <v>402</v>
      </c>
      <c r="E16" s="271">
        <f t="shared" si="12"/>
        <v>402</v>
      </c>
      <c r="F16" s="101">
        <f>$K16</f>
        <v>402</v>
      </c>
      <c r="G16" s="101">
        <f t="shared" ref="G16:J19" si="13">O16+T16</f>
        <v>429</v>
      </c>
      <c r="H16" s="101">
        <f t="shared" si="13"/>
        <v>602</v>
      </c>
      <c r="I16" s="101">
        <f t="shared" si="13"/>
        <v>12</v>
      </c>
      <c r="J16" s="101">
        <f t="shared" si="13"/>
        <v>565</v>
      </c>
      <c r="K16" s="101">
        <f>AVERAGE(G16:J16)</f>
        <v>402</v>
      </c>
      <c r="L16" s="101"/>
      <c r="M16" s="101" t="s">
        <v>1011</v>
      </c>
      <c r="N16" s="6"/>
      <c r="O16" s="152">
        <v>351</v>
      </c>
      <c r="P16" s="152">
        <v>200</v>
      </c>
      <c r="Q16" s="6">
        <v>-8</v>
      </c>
      <c r="R16" s="6">
        <v>311</v>
      </c>
      <c r="S16" s="4"/>
      <c r="T16" s="152">
        <v>78</v>
      </c>
      <c r="U16" s="152">
        <v>402</v>
      </c>
      <c r="V16" s="6">
        <v>20</v>
      </c>
      <c r="W16" s="6">
        <v>254</v>
      </c>
      <c r="X16" s="4"/>
      <c r="Y16" s="227"/>
      <c r="Z16" s="227"/>
    </row>
    <row r="17" spans="1:26" x14ac:dyDescent="0.25">
      <c r="A17" s="121" t="s">
        <v>670</v>
      </c>
      <c r="B17" s="177">
        <f t="shared" ref="B17:F18" si="14">$K17*B$1+$L17</f>
        <v>207.20000000000073</v>
      </c>
      <c r="C17" s="177">
        <f t="shared" si="14"/>
        <v>202.89999999999964</v>
      </c>
      <c r="D17" s="177">
        <f t="shared" si="14"/>
        <v>198.60000000000036</v>
      </c>
      <c r="E17" s="177">
        <f t="shared" si="14"/>
        <v>194.29999999999927</v>
      </c>
      <c r="F17" s="177">
        <f t="shared" si="14"/>
        <v>190</v>
      </c>
      <c r="G17" s="101">
        <f t="shared" si="13"/>
        <v>228</v>
      </c>
      <c r="H17" s="101">
        <f t="shared" si="13"/>
        <v>118</v>
      </c>
      <c r="I17" s="101">
        <f t="shared" si="13"/>
        <v>177</v>
      </c>
      <c r="J17" s="101">
        <f t="shared" si="13"/>
        <v>194</v>
      </c>
      <c r="K17" s="101">
        <f>SLOPE(G17:J17, $G$1:$J$1)</f>
        <v>4.3</v>
      </c>
      <c r="L17" s="101">
        <f>INTERCEPT(G17:J17, $G$1:$J$1)</f>
        <v>-8487.4</v>
      </c>
      <c r="M17" s="101" t="s">
        <v>1020</v>
      </c>
      <c r="N17" s="6"/>
      <c r="O17" s="152">
        <v>219</v>
      </c>
      <c r="P17" s="152">
        <v>90</v>
      </c>
      <c r="Q17" s="6">
        <v>70</v>
      </c>
      <c r="R17" s="6">
        <v>100</v>
      </c>
      <c r="S17" s="4"/>
      <c r="T17" s="152">
        <v>9</v>
      </c>
      <c r="U17" s="152">
        <v>28</v>
      </c>
      <c r="V17" s="6">
        <v>107</v>
      </c>
      <c r="W17" s="6">
        <v>94</v>
      </c>
      <c r="X17" s="4"/>
      <c r="Y17" s="227"/>
      <c r="Z17" s="227"/>
    </row>
    <row r="18" spans="1:26" x14ac:dyDescent="0.25">
      <c r="A18" s="121" t="s">
        <v>671</v>
      </c>
      <c r="B18" s="177">
        <f t="shared" si="14"/>
        <v>-265.29999999999927</v>
      </c>
      <c r="C18" s="177">
        <f t="shared" si="14"/>
        <v>-256.09999999999854</v>
      </c>
      <c r="D18" s="177">
        <f t="shared" si="14"/>
        <v>-246.90000000000146</v>
      </c>
      <c r="E18" s="177">
        <f t="shared" si="14"/>
        <v>-237.70000000000073</v>
      </c>
      <c r="F18" s="177">
        <f t="shared" si="14"/>
        <v>-228.5</v>
      </c>
      <c r="G18" s="101">
        <f t="shared" si="13"/>
        <v>-209</v>
      </c>
      <c r="H18" s="101">
        <f t="shared" si="13"/>
        <v>-230</v>
      </c>
      <c r="I18" s="101">
        <f t="shared" si="13"/>
        <v>-192</v>
      </c>
      <c r="J18" s="101">
        <f t="shared" si="13"/>
        <v>-191</v>
      </c>
      <c r="K18" s="101">
        <f>SLOPE(G18:J18, $G$1:$J$1)</f>
        <v>-9.1999999999999993</v>
      </c>
      <c r="L18" s="101">
        <f>INTERCEPT(G18:J18, $G$1:$J$1)</f>
        <v>18337.099999999999</v>
      </c>
      <c r="M18" s="101" t="s">
        <v>1020</v>
      </c>
      <c r="N18" s="6"/>
      <c r="O18" s="90">
        <v>-155</v>
      </c>
      <c r="P18" s="90">
        <v>-175</v>
      </c>
      <c r="Q18" s="6">
        <v>-139</v>
      </c>
      <c r="R18" s="6">
        <v>-143</v>
      </c>
      <c r="S18" s="4"/>
      <c r="T18" s="90">
        <v>-54</v>
      </c>
      <c r="U18" s="90">
        <v>-55</v>
      </c>
      <c r="V18" s="6">
        <v>-53</v>
      </c>
      <c r="W18" s="6">
        <v>-48</v>
      </c>
      <c r="X18" s="4"/>
      <c r="Y18" s="227"/>
      <c r="Z18" s="227"/>
    </row>
    <row r="19" spans="1:26" x14ac:dyDescent="0.25">
      <c r="A19" s="121" t="s">
        <v>665</v>
      </c>
      <c r="B19" s="271">
        <f t="shared" ref="B19:E19" si="15">$K19</f>
        <v>-84.5</v>
      </c>
      <c r="C19" s="271">
        <f t="shared" si="15"/>
        <v>-84.5</v>
      </c>
      <c r="D19" s="271">
        <f t="shared" si="15"/>
        <v>-84.5</v>
      </c>
      <c r="E19" s="271">
        <f t="shared" si="15"/>
        <v>-84.5</v>
      </c>
      <c r="F19" s="101">
        <f>$K19</f>
        <v>-84.5</v>
      </c>
      <c r="G19" s="101">
        <f t="shared" si="13"/>
        <v>174</v>
      </c>
      <c r="H19" s="101">
        <f t="shared" si="13"/>
        <v>-334</v>
      </c>
      <c r="I19" s="101">
        <f t="shared" si="13"/>
        <v>-86</v>
      </c>
      <c r="J19" s="101">
        <f t="shared" si="13"/>
        <v>-92</v>
      </c>
      <c r="K19" s="101">
        <f>AVERAGE(G19:J19)</f>
        <v>-84.5</v>
      </c>
      <c r="L19" s="101"/>
      <c r="M19" s="101" t="s">
        <v>1011</v>
      </c>
      <c r="N19" s="6"/>
      <c r="O19" s="90">
        <v>0</v>
      </c>
      <c r="P19" s="90">
        <v>0</v>
      </c>
      <c r="Q19" s="6">
        <v>0</v>
      </c>
      <c r="R19" s="6">
        <v>0</v>
      </c>
      <c r="S19" s="4"/>
      <c r="T19" s="152">
        <v>174</v>
      </c>
      <c r="U19" s="90">
        <v>-334</v>
      </c>
      <c r="V19" s="6">
        <v>-86</v>
      </c>
      <c r="W19" s="6">
        <v>-92</v>
      </c>
      <c r="X19" s="4"/>
      <c r="Y19" s="227"/>
      <c r="Z19" s="227"/>
    </row>
    <row r="20" spans="1:26" x14ac:dyDescent="0.25">
      <c r="A20" s="120" t="s">
        <v>672</v>
      </c>
      <c r="B20" s="101">
        <f>SUM(B15:B19)</f>
        <v>6472</v>
      </c>
      <c r="C20" s="101">
        <f t="shared" ref="C20:F20" si="16">SUM(C15:C19)</f>
        <v>6212.5999999999985</v>
      </c>
      <c r="D20" s="101">
        <f t="shared" si="16"/>
        <v>5948.2999999999975</v>
      </c>
      <c r="E20" s="101">
        <f t="shared" si="16"/>
        <v>5679.0999999999985</v>
      </c>
      <c r="F20" s="101">
        <f t="shared" si="16"/>
        <v>5405</v>
      </c>
      <c r="G20" s="101">
        <f>SUM(G15:G19)</f>
        <v>5126</v>
      </c>
      <c r="H20" s="101">
        <f t="shared" ref="H20:J20" si="17">SUM(H15:H19)</f>
        <v>4504</v>
      </c>
      <c r="I20" s="101">
        <f t="shared" si="17"/>
        <v>4348</v>
      </c>
      <c r="J20" s="101">
        <f t="shared" si="17"/>
        <v>4437</v>
      </c>
      <c r="K20" s="101">
        <v>3961</v>
      </c>
      <c r="L20" s="101"/>
      <c r="M20" s="101"/>
      <c r="N20" s="6"/>
      <c r="O20" s="151">
        <f>SUM(O15:O19)</f>
        <v>3166</v>
      </c>
      <c r="P20" s="151">
        <f>SUM(P15:P19)</f>
        <v>2751</v>
      </c>
      <c r="Q20" s="6">
        <v>2636</v>
      </c>
      <c r="R20" s="6">
        <v>2713</v>
      </c>
      <c r="S20" s="4"/>
      <c r="T20" s="151">
        <f>SUM(T15:T19)</f>
        <v>1960</v>
      </c>
      <c r="U20" s="151">
        <f>SUM(U15:U19)</f>
        <v>1753</v>
      </c>
      <c r="V20" s="6">
        <v>1712</v>
      </c>
      <c r="W20" s="6">
        <v>1724</v>
      </c>
      <c r="X20" s="4"/>
      <c r="Y20" s="227"/>
      <c r="Z20" s="227"/>
    </row>
    <row r="21" spans="1:26" x14ac:dyDescent="0.25">
      <c r="A21" s="125" t="s">
        <v>678</v>
      </c>
      <c r="B21" s="101">
        <f t="shared" ref="B21:F21" si="18">B20-B12</f>
        <v>1222.75</v>
      </c>
      <c r="C21" s="101">
        <f t="shared" si="18"/>
        <v>1120</v>
      </c>
      <c r="D21" s="101">
        <f t="shared" si="18"/>
        <v>1016.2500000000018</v>
      </c>
      <c r="E21" s="101">
        <f t="shared" si="18"/>
        <v>911.5</v>
      </c>
      <c r="F21" s="101">
        <f t="shared" si="18"/>
        <v>805.75</v>
      </c>
      <c r="G21" s="101">
        <f>G20-G12</f>
        <v>699</v>
      </c>
      <c r="H21" s="101">
        <f t="shared" ref="H21:J21" si="19">H20-H12</f>
        <v>392</v>
      </c>
      <c r="I21" s="101">
        <f t="shared" si="19"/>
        <v>425</v>
      </c>
      <c r="J21" s="101">
        <f t="shared" si="19"/>
        <v>336</v>
      </c>
      <c r="K21" s="101"/>
      <c r="L21" s="101"/>
      <c r="M21" s="101"/>
      <c r="N21" s="6"/>
      <c r="O21" s="151">
        <f>O20-O12</f>
        <v>401</v>
      </c>
      <c r="P21" s="151">
        <f>P20-P12</f>
        <v>90</v>
      </c>
      <c r="Q21" s="151">
        <f>Q20-Q12</f>
        <v>103</v>
      </c>
      <c r="R21" s="151">
        <f>R20-R12</f>
        <v>134</v>
      </c>
      <c r="S21" s="4"/>
      <c r="T21" s="151">
        <f>T20-T12</f>
        <v>298</v>
      </c>
      <c r="U21" s="151">
        <f>U20-U12</f>
        <v>302</v>
      </c>
      <c r="V21" s="151">
        <f>V20-V12</f>
        <v>322</v>
      </c>
      <c r="W21" s="151">
        <f>W20-W12</f>
        <v>202</v>
      </c>
      <c r="X21" s="4"/>
      <c r="Y21" s="227"/>
      <c r="Z21" s="227"/>
    </row>
    <row r="22" spans="1:26" x14ac:dyDescent="0.25">
      <c r="A22" s="125"/>
      <c r="B22" s="125"/>
      <c r="C22" s="125"/>
      <c r="D22" s="125"/>
      <c r="E22" s="125"/>
      <c r="F22" s="188"/>
      <c r="G22" s="188"/>
      <c r="H22" s="188"/>
      <c r="I22" s="188"/>
      <c r="J22" s="188"/>
      <c r="K22" s="188"/>
      <c r="L22" s="188"/>
      <c r="M22" s="188"/>
      <c r="N22" s="6"/>
      <c r="O22" s="153"/>
      <c r="P22" s="88"/>
      <c r="Q22" s="6"/>
      <c r="R22" s="6"/>
      <c r="S22" s="4"/>
      <c r="T22" s="88"/>
      <c r="U22" s="88"/>
      <c r="V22" s="6"/>
      <c r="W22" s="6"/>
      <c r="X22" s="4"/>
      <c r="Y22" s="227"/>
      <c r="Z22" s="227"/>
    </row>
    <row r="23" spans="1:26" x14ac:dyDescent="0.25">
      <c r="A23" s="125" t="s">
        <v>673</v>
      </c>
      <c r="B23" s="125"/>
      <c r="C23" s="125"/>
      <c r="D23" s="125"/>
      <c r="E23" s="125"/>
      <c r="F23" s="272"/>
      <c r="G23" s="272"/>
      <c r="H23" s="272"/>
      <c r="I23" s="272"/>
      <c r="J23" s="272"/>
      <c r="K23" s="188"/>
      <c r="L23" s="188"/>
      <c r="M23" s="188"/>
      <c r="N23" s="6"/>
      <c r="O23" s="88"/>
      <c r="P23" s="88"/>
      <c r="Q23" s="6" t="s">
        <v>282</v>
      </c>
      <c r="R23" s="6" t="s">
        <v>282</v>
      </c>
      <c r="S23" s="4"/>
      <c r="T23" s="88"/>
      <c r="U23" s="88"/>
      <c r="V23" s="6" t="s">
        <v>282</v>
      </c>
      <c r="W23" s="6" t="s">
        <v>282</v>
      </c>
      <c r="X23" s="4"/>
    </row>
    <row r="24" spans="1:26" x14ac:dyDescent="0.25">
      <c r="A24" s="120" t="s">
        <v>674</v>
      </c>
      <c r="B24" s="177">
        <f t="shared" ref="B24:F25" si="20">$K24*B$1+$L24</f>
        <v>1633.6000000000058</v>
      </c>
      <c r="C24" s="177">
        <f t="shared" si="20"/>
        <v>1512.2000000000116</v>
      </c>
      <c r="D24" s="177">
        <f t="shared" si="20"/>
        <v>1390.7999999999884</v>
      </c>
      <c r="E24" s="177">
        <f t="shared" si="20"/>
        <v>1269.3999999999942</v>
      </c>
      <c r="F24" s="177">
        <f t="shared" si="20"/>
        <v>1148</v>
      </c>
      <c r="G24" s="101">
        <f t="shared" ref="G24:J27" si="21">O24+T24</f>
        <v>1043</v>
      </c>
      <c r="H24" s="101">
        <f t="shared" si="21"/>
        <v>731</v>
      </c>
      <c r="I24" s="101">
        <f t="shared" si="21"/>
        <v>735</v>
      </c>
      <c r="J24" s="101">
        <f t="shared" si="21"/>
        <v>637</v>
      </c>
      <c r="K24" s="273">
        <f>SLOPE(G24:J24, $G$1:$J$1)</f>
        <v>121.4</v>
      </c>
      <c r="L24" s="177">
        <f>INTERCEPT(G24:J24, $G$1:$J$1)+58</f>
        <v>-243837.2</v>
      </c>
      <c r="M24" s="101" t="s">
        <v>1020</v>
      </c>
      <c r="N24" s="6" t="s">
        <v>1039</v>
      </c>
      <c r="O24" s="151">
        <v>745</v>
      </c>
      <c r="P24" s="151">
        <v>429</v>
      </c>
      <c r="Q24" s="6">
        <v>413</v>
      </c>
      <c r="R24" s="6">
        <v>435</v>
      </c>
      <c r="S24" s="4"/>
      <c r="T24" s="151">
        <v>298</v>
      </c>
      <c r="U24" s="151">
        <v>302</v>
      </c>
      <c r="V24" s="6">
        <v>322</v>
      </c>
      <c r="W24" s="6">
        <v>202</v>
      </c>
      <c r="X24" s="4"/>
      <c r="Y24" s="227"/>
      <c r="Z24" s="227"/>
    </row>
    <row r="25" spans="1:26" x14ac:dyDescent="0.25">
      <c r="A25" s="120" t="s">
        <v>680</v>
      </c>
      <c r="B25" s="177">
        <f t="shared" si="20"/>
        <v>-17.299999999999955</v>
      </c>
      <c r="C25" s="177">
        <f t="shared" si="20"/>
        <v>-16.599999999999909</v>
      </c>
      <c r="D25" s="177">
        <f t="shared" si="20"/>
        <v>-15.900000000000091</v>
      </c>
      <c r="E25" s="177">
        <f t="shared" si="20"/>
        <v>-15.200000000000045</v>
      </c>
      <c r="F25" s="177">
        <f t="shared" si="20"/>
        <v>-14.5</v>
      </c>
      <c r="G25" s="101">
        <f t="shared" si="21"/>
        <v>-14</v>
      </c>
      <c r="H25" s="101">
        <f t="shared" si="21"/>
        <v>-13</v>
      </c>
      <c r="I25" s="101">
        <f t="shared" si="21"/>
        <v>-12</v>
      </c>
      <c r="J25" s="101">
        <f t="shared" si="21"/>
        <v>-12</v>
      </c>
      <c r="K25" s="101">
        <f>SLOPE(G25:J25, $G$1:$J$1)</f>
        <v>-0.7</v>
      </c>
      <c r="L25" s="101">
        <f>INTERCEPT(G25:J25, $G$1:$J$1)</f>
        <v>1398.1</v>
      </c>
      <c r="M25" s="101" t="s">
        <v>1020</v>
      </c>
      <c r="N25" s="6"/>
      <c r="O25" s="90">
        <v>-14</v>
      </c>
      <c r="P25" s="90">
        <v>-13</v>
      </c>
      <c r="Q25" s="6">
        <v>-12</v>
      </c>
      <c r="R25" s="6">
        <v>-12</v>
      </c>
      <c r="S25" s="4"/>
      <c r="T25" s="90">
        <v>0</v>
      </c>
      <c r="U25" s="90">
        <v>0</v>
      </c>
      <c r="V25" s="6">
        <v>0</v>
      </c>
      <c r="W25" s="6">
        <v>0</v>
      </c>
      <c r="X25" s="4"/>
      <c r="Y25" s="227"/>
      <c r="Z25" s="227"/>
    </row>
    <row r="26" spans="1:26" x14ac:dyDescent="0.25">
      <c r="A26" s="120" t="s">
        <v>675</v>
      </c>
      <c r="B26" s="101">
        <f t="shared" ref="B26:E26" si="22">$K26*B12</f>
        <v>-393.93936786813981</v>
      </c>
      <c r="C26" s="101">
        <f t="shared" si="22"/>
        <v>-382.18328805168136</v>
      </c>
      <c r="D26" s="101">
        <f t="shared" si="22"/>
        <v>-370.13452575016572</v>
      </c>
      <c r="E26" s="101">
        <f t="shared" si="22"/>
        <v>-357.79308096359347</v>
      </c>
      <c r="F26" s="101">
        <f>$K26*F12</f>
        <v>-345.15895369196403</v>
      </c>
      <c r="G26" s="101">
        <f t="shared" si="21"/>
        <v>-330</v>
      </c>
      <c r="H26" s="101">
        <f t="shared" si="21"/>
        <v>-326</v>
      </c>
      <c r="I26" s="101">
        <f t="shared" si="21"/>
        <v>-298</v>
      </c>
      <c r="J26" s="101">
        <f t="shared" si="21"/>
        <v>-289</v>
      </c>
      <c r="K26" s="273">
        <f>SUM(G26:J26)/SUM(G12:J12)</f>
        <v>-7.5046791040270483E-2</v>
      </c>
      <c r="L26" s="273"/>
      <c r="M26" s="101" t="s">
        <v>1029</v>
      </c>
      <c r="N26" s="6"/>
      <c r="O26" s="90">
        <v>-330</v>
      </c>
      <c r="P26" s="90">
        <v>-326</v>
      </c>
      <c r="Q26" s="6">
        <v>-298</v>
      </c>
      <c r="R26" s="6">
        <v>-289</v>
      </c>
      <c r="S26" s="4"/>
      <c r="T26" s="90">
        <v>0</v>
      </c>
      <c r="U26" s="90">
        <v>0</v>
      </c>
      <c r="V26" s="6">
        <v>0</v>
      </c>
      <c r="W26" s="6">
        <v>0</v>
      </c>
      <c r="X26" s="4"/>
      <c r="Y26" s="227"/>
      <c r="Z26" s="227"/>
    </row>
    <row r="27" spans="1:26" x14ac:dyDescent="0.25">
      <c r="A27" s="125" t="s">
        <v>676</v>
      </c>
      <c r="B27" s="101">
        <f t="shared" ref="B27:F27" si="23">SUM(B24:B26)</f>
        <v>1222.3606321318662</v>
      </c>
      <c r="C27" s="101">
        <f t="shared" si="23"/>
        <v>1113.4167119483304</v>
      </c>
      <c r="D27" s="101">
        <f t="shared" si="23"/>
        <v>1004.7654742498225</v>
      </c>
      <c r="E27" s="101">
        <f t="shared" si="23"/>
        <v>896.40691903640072</v>
      </c>
      <c r="F27" s="101">
        <f t="shared" si="23"/>
        <v>788.34104630803597</v>
      </c>
      <c r="G27" s="101">
        <f>SUM(G24:G26)</f>
        <v>699</v>
      </c>
      <c r="H27" s="101">
        <f t="shared" si="21"/>
        <v>392</v>
      </c>
      <c r="I27" s="101">
        <f t="shared" si="21"/>
        <v>425</v>
      </c>
      <c r="J27" s="101">
        <f t="shared" si="21"/>
        <v>336</v>
      </c>
      <c r="K27" s="101"/>
      <c r="L27" s="101"/>
      <c r="M27" s="101"/>
      <c r="N27" s="6"/>
      <c r="O27" s="151">
        <f>SUM(O24:O26)</f>
        <v>401</v>
      </c>
      <c r="P27" s="151">
        <f>SUM(P24:P26)</f>
        <v>90</v>
      </c>
      <c r="Q27" s="151">
        <f>SUM(Q24:Q26)</f>
        <v>103</v>
      </c>
      <c r="R27" s="151">
        <f>SUM(R24:R26)</f>
        <v>134</v>
      </c>
      <c r="S27" s="4"/>
      <c r="T27" s="151">
        <f>SUM(T24:T26)</f>
        <v>298</v>
      </c>
      <c r="U27" s="151">
        <f>SUM(U24:U26)</f>
        <v>302</v>
      </c>
      <c r="V27" s="151">
        <f>SUM(V24:V26)</f>
        <v>322</v>
      </c>
      <c r="W27" s="151">
        <f>SUM(W24:W26)</f>
        <v>202</v>
      </c>
      <c r="X27" s="4"/>
      <c r="Y27" s="227"/>
      <c r="Z27" s="227"/>
    </row>
    <row r="28" spans="1:26" x14ac:dyDescent="0.25">
      <c r="A28" s="98" t="s">
        <v>1038</v>
      </c>
      <c r="B28" s="274">
        <f>B27-B21</f>
        <v>-0.38936786813383151</v>
      </c>
      <c r="C28" s="274">
        <f t="shared" ref="C28:J28" si="24">C27-C21</f>
        <v>-6.5832880516695695</v>
      </c>
      <c r="D28" s="274">
        <f t="shared" si="24"/>
        <v>-11.484525750179273</v>
      </c>
      <c r="E28" s="274">
        <f t="shared" si="24"/>
        <v>-15.093080963599277</v>
      </c>
      <c r="F28" s="274">
        <f t="shared" si="24"/>
        <v>-17.40895369196403</v>
      </c>
      <c r="G28" s="274">
        <f t="shared" si="24"/>
        <v>0</v>
      </c>
      <c r="H28" s="274">
        <f t="shared" si="24"/>
        <v>0</v>
      </c>
      <c r="I28" s="274">
        <f t="shared" si="24"/>
        <v>0</v>
      </c>
      <c r="J28" s="274">
        <f t="shared" si="24"/>
        <v>0</v>
      </c>
      <c r="K28" s="115"/>
      <c r="L28" s="115"/>
      <c r="M28" s="115"/>
      <c r="N28" s="6"/>
      <c r="O28" s="6"/>
      <c r="P28" s="6"/>
      <c r="Q28" s="6"/>
      <c r="R28" s="6"/>
      <c r="S28" s="4"/>
      <c r="T28" s="4"/>
      <c r="U28" s="4"/>
      <c r="V28" s="4"/>
      <c r="W28" s="4"/>
      <c r="X28" s="4"/>
      <c r="Y28" s="227"/>
      <c r="Z28" s="227"/>
    </row>
    <row r="29" spans="1:26" x14ac:dyDescent="0.25">
      <c r="K29" s="101"/>
      <c r="L29" s="101"/>
      <c r="M29" s="101"/>
      <c r="N29" s="6"/>
      <c r="X29" s="4"/>
      <c r="Y29" s="227"/>
      <c r="Z29" s="227"/>
    </row>
    <row r="30" spans="1:26" x14ac:dyDescent="0.25">
      <c r="K30" s="101"/>
      <c r="L30" s="101"/>
      <c r="M30" s="101"/>
      <c r="N30" s="6"/>
      <c r="X30" s="4"/>
      <c r="Y30" s="227"/>
      <c r="Z30" s="227"/>
    </row>
    <row r="31" spans="1:26" x14ac:dyDescent="0.25">
      <c r="A31" s="125" t="s">
        <v>679</v>
      </c>
      <c r="B31" s="125"/>
      <c r="C31" s="125"/>
      <c r="D31" s="125"/>
      <c r="E31" s="125"/>
      <c r="F31" s="101"/>
      <c r="G31" s="101">
        <f t="shared" ref="G31:J34" si="25">O31+T31</f>
        <v>0</v>
      </c>
      <c r="H31" s="101">
        <f t="shared" si="25"/>
        <v>0</v>
      </c>
      <c r="I31" s="101">
        <f t="shared" si="25"/>
        <v>0</v>
      </c>
      <c r="J31" s="101">
        <f t="shared" si="25"/>
        <v>0</v>
      </c>
      <c r="K31" s="101"/>
      <c r="L31" s="101"/>
      <c r="M31" s="101"/>
      <c r="N31" s="6"/>
      <c r="O31" s="89">
        <v>0</v>
      </c>
      <c r="P31" s="89">
        <v>0</v>
      </c>
      <c r="Q31" s="89">
        <v>0</v>
      </c>
      <c r="R31" s="89">
        <v>0</v>
      </c>
      <c r="S31" s="4"/>
      <c r="T31" s="89">
        <v>0</v>
      </c>
      <c r="U31" s="89">
        <v>0</v>
      </c>
      <c r="V31" s="89">
        <v>0</v>
      </c>
      <c r="W31" s="89">
        <v>0</v>
      </c>
      <c r="X31" s="4"/>
      <c r="Y31" s="227"/>
      <c r="Z31" s="227"/>
    </row>
    <row r="32" spans="1:26" x14ac:dyDescent="0.25">
      <c r="A32" s="125" t="s">
        <v>677</v>
      </c>
      <c r="B32" s="125"/>
      <c r="C32" s="125"/>
      <c r="D32" s="125"/>
      <c r="E32" s="125"/>
      <c r="F32" s="101"/>
      <c r="G32" s="101">
        <f t="shared" si="25"/>
        <v>856</v>
      </c>
      <c r="H32" s="101">
        <f t="shared" si="25"/>
        <v>942</v>
      </c>
      <c r="I32" s="101">
        <f t="shared" si="25"/>
        <v>917</v>
      </c>
      <c r="J32" s="101">
        <f t="shared" si="25"/>
        <v>897</v>
      </c>
      <c r="K32" s="101"/>
      <c r="L32" s="101"/>
      <c r="M32" s="101"/>
      <c r="N32" s="6"/>
      <c r="O32" s="151">
        <v>649</v>
      </c>
      <c r="P32" s="151">
        <v>770</v>
      </c>
      <c r="Q32" s="6">
        <v>689</v>
      </c>
      <c r="R32" s="6">
        <v>611</v>
      </c>
      <c r="S32" s="4"/>
      <c r="T32" s="151">
        <v>207</v>
      </c>
      <c r="U32" s="151">
        <v>172</v>
      </c>
      <c r="V32" s="6">
        <v>228</v>
      </c>
      <c r="W32" s="6">
        <v>286</v>
      </c>
      <c r="X32" s="4"/>
    </row>
    <row r="33" spans="1:23" x14ac:dyDescent="0.25">
      <c r="A33" s="125" t="s">
        <v>722</v>
      </c>
      <c r="B33" s="125"/>
      <c r="C33" s="125"/>
      <c r="D33" s="125"/>
      <c r="E33" s="125"/>
      <c r="F33" s="101"/>
      <c r="G33" s="101">
        <f t="shared" si="25"/>
        <v>8</v>
      </c>
      <c r="H33" s="101">
        <f t="shared" si="25"/>
        <v>9</v>
      </c>
      <c r="I33" s="101">
        <f t="shared" si="25"/>
        <v>-1</v>
      </c>
      <c r="J33" s="101">
        <f t="shared" si="25"/>
        <v>-1</v>
      </c>
      <c r="K33" s="4"/>
      <c r="L33" s="4"/>
      <c r="M33" s="4"/>
      <c r="N33" s="97"/>
      <c r="O33" s="152">
        <v>8</v>
      </c>
      <c r="P33" s="152">
        <v>9</v>
      </c>
      <c r="Q33" s="6">
        <v>-1</v>
      </c>
      <c r="R33" s="6">
        <v>-1</v>
      </c>
      <c r="S33" s="4"/>
      <c r="T33" s="90">
        <v>0</v>
      </c>
      <c r="U33" s="90">
        <v>0</v>
      </c>
      <c r="V33" s="6">
        <v>0</v>
      </c>
      <c r="W33" s="6">
        <v>0</v>
      </c>
    </row>
    <row r="34" spans="1:23" x14ac:dyDescent="0.25">
      <c r="A34" s="125" t="s">
        <v>676</v>
      </c>
      <c r="B34" s="125"/>
      <c r="C34" s="125"/>
      <c r="D34" s="125"/>
      <c r="E34" s="125"/>
      <c r="F34" s="101"/>
      <c r="G34" s="101">
        <f t="shared" si="25"/>
        <v>864</v>
      </c>
      <c r="H34" s="101">
        <f t="shared" si="25"/>
        <v>951</v>
      </c>
      <c r="I34" s="101">
        <f t="shared" si="25"/>
        <v>916</v>
      </c>
      <c r="J34" s="101">
        <f t="shared" si="25"/>
        <v>896</v>
      </c>
      <c r="K34" s="4"/>
      <c r="L34" s="4"/>
      <c r="M34" s="4"/>
      <c r="N34" s="4"/>
      <c r="O34" s="151">
        <v>657</v>
      </c>
      <c r="P34" s="151">
        <v>779</v>
      </c>
      <c r="Q34" s="6">
        <v>688</v>
      </c>
      <c r="R34" s="6">
        <v>610</v>
      </c>
      <c r="S34" s="4"/>
      <c r="T34" s="151">
        <v>207</v>
      </c>
      <c r="U34" s="151">
        <v>172</v>
      </c>
      <c r="V34" s="6">
        <v>228</v>
      </c>
      <c r="W34" s="6">
        <v>286</v>
      </c>
    </row>
    <row r="35" spans="1:23" x14ac:dyDescent="0.25">
      <c r="A35" s="125"/>
      <c r="B35" s="125"/>
      <c r="C35" s="125"/>
      <c r="D35" s="125"/>
      <c r="E35" s="125"/>
      <c r="F35" s="101"/>
      <c r="G35" s="101"/>
      <c r="H35" s="101"/>
      <c r="I35" s="101"/>
      <c r="J35" s="101"/>
      <c r="K35" s="4"/>
      <c r="L35" s="4"/>
      <c r="M35" s="4"/>
      <c r="N35" s="4"/>
      <c r="O35" s="151"/>
      <c r="P35" s="151"/>
      <c r="Q35" s="6"/>
      <c r="R35" s="6"/>
      <c r="S35" s="4"/>
      <c r="T35" s="151"/>
      <c r="U35" s="151"/>
      <c r="V35" s="6"/>
      <c r="W35" s="6"/>
    </row>
    <row r="36" spans="1:23" x14ac:dyDescent="0.25">
      <c r="A36" s="125"/>
      <c r="B36" s="125"/>
      <c r="C36" s="125"/>
      <c r="D36" s="125"/>
      <c r="E36" s="125"/>
      <c r="F36" s="101"/>
      <c r="G36" s="101"/>
      <c r="H36" s="101"/>
      <c r="I36" s="101"/>
      <c r="J36" s="101"/>
      <c r="K36" s="4"/>
      <c r="L36" s="4"/>
      <c r="M36" s="4"/>
      <c r="N36" s="4"/>
      <c r="O36" s="151"/>
      <c r="P36" s="151"/>
      <c r="Q36" s="6"/>
      <c r="R36" s="6"/>
      <c r="S36" s="4"/>
      <c r="T36" s="151"/>
      <c r="U36" s="151"/>
      <c r="V36" s="6"/>
      <c r="W36" s="6"/>
    </row>
    <row r="37" spans="1:23" x14ac:dyDescent="0.25">
      <c r="A37" s="98" t="s">
        <v>1055</v>
      </c>
      <c r="B37" s="6">
        <v>2022</v>
      </c>
      <c r="C37" s="6">
        <v>2021</v>
      </c>
      <c r="D37" s="6">
        <v>2020</v>
      </c>
      <c r="E37" s="6">
        <v>2019</v>
      </c>
      <c r="F37" s="6">
        <v>2018</v>
      </c>
      <c r="G37" s="6">
        <v>2017</v>
      </c>
      <c r="H37" s="6">
        <v>2016</v>
      </c>
      <c r="I37" s="6">
        <v>2015</v>
      </c>
      <c r="J37" s="6">
        <v>2014</v>
      </c>
      <c r="K37" s="4" t="s">
        <v>1028</v>
      </c>
      <c r="L37" s="4"/>
      <c r="M37" s="4" t="s">
        <v>1025</v>
      </c>
      <c r="N37" s="4" t="s">
        <v>1002</v>
      </c>
      <c r="O37" s="4"/>
      <c r="P37" s="4"/>
      <c r="Q37" s="4"/>
    </row>
    <row r="38" spans="1:23" x14ac:dyDescent="0.25">
      <c r="A38" s="98" t="s">
        <v>673</v>
      </c>
      <c r="B38" s="6">
        <f t="shared" ref="B38:F38" si="26">SUM(B39:B40)</f>
        <v>-179.60000000000036</v>
      </c>
      <c r="C38" s="6">
        <f t="shared" si="26"/>
        <v>-208.69999999999982</v>
      </c>
      <c r="D38" s="6">
        <f t="shared" si="26"/>
        <v>-237.80000000000018</v>
      </c>
      <c r="E38" s="6">
        <f t="shared" si="26"/>
        <v>-266.89999999999964</v>
      </c>
      <c r="F38" s="6">
        <f t="shared" si="26"/>
        <v>-296</v>
      </c>
      <c r="G38" s="6">
        <f>SUM(G39:G40)</f>
        <v>-318</v>
      </c>
      <c r="H38" s="6">
        <f>SUM(H39:H40)</f>
        <v>-364</v>
      </c>
      <c r="I38" s="6">
        <f>SUM(I39:I40)</f>
        <v>-385</v>
      </c>
      <c r="J38" s="6">
        <f>SUM(J39:J40)</f>
        <v>-408</v>
      </c>
      <c r="K38" s="4"/>
      <c r="L38" s="4"/>
      <c r="M38" s="4"/>
      <c r="N38" s="4" t="str">
        <f>"Reconcile at roll up in 2017 to cell " &amp; ADDRESS(ROW(B144), COLUMN(B144))</f>
        <v>Reconcile at roll up in 2017 to cell $B$144</v>
      </c>
      <c r="O38" s="4"/>
      <c r="P38" s="4"/>
      <c r="Q38" s="4"/>
    </row>
    <row r="39" spans="1:23" x14ac:dyDescent="0.25">
      <c r="A39" s="148" t="s">
        <v>680</v>
      </c>
      <c r="B39" s="6">
        <f t="shared" ref="B39:F40" si="27">$K39*B$1+$L39</f>
        <v>-14.600000000000364</v>
      </c>
      <c r="C39" s="6">
        <f t="shared" si="27"/>
        <v>-17.699999999999818</v>
      </c>
      <c r="D39" s="6">
        <f t="shared" si="27"/>
        <v>-20.800000000000182</v>
      </c>
      <c r="E39" s="6">
        <f t="shared" si="27"/>
        <v>-23.899999999999636</v>
      </c>
      <c r="F39" s="6">
        <f t="shared" si="27"/>
        <v>-27</v>
      </c>
      <c r="G39" s="6">
        <v>-29</v>
      </c>
      <c r="H39" s="6">
        <v>-35</v>
      </c>
      <c r="I39" s="6">
        <v>-36</v>
      </c>
      <c r="J39" s="6">
        <v>-39</v>
      </c>
      <c r="K39" s="101">
        <f>SLOPE(G39:J39, $G$1:$J$1)</f>
        <v>3.1</v>
      </c>
      <c r="L39" s="101">
        <f>INTERCEPT(G39:J39, $G$1:$J$1)</f>
        <v>-6282.8</v>
      </c>
      <c r="M39" s="101" t="s">
        <v>1020</v>
      </c>
      <c r="N39" s="4"/>
      <c r="O39" s="4"/>
      <c r="P39" s="4"/>
      <c r="Q39" s="4"/>
    </row>
    <row r="40" spans="1:23" x14ac:dyDescent="0.25">
      <c r="A40" s="148" t="s">
        <v>773</v>
      </c>
      <c r="B40" s="6">
        <f t="shared" si="27"/>
        <v>-165</v>
      </c>
      <c r="C40" s="6">
        <f t="shared" si="27"/>
        <v>-191</v>
      </c>
      <c r="D40" s="6">
        <f t="shared" si="27"/>
        <v>-217</v>
      </c>
      <c r="E40" s="6">
        <f t="shared" si="27"/>
        <v>-243</v>
      </c>
      <c r="F40" s="6">
        <f t="shared" si="27"/>
        <v>-269</v>
      </c>
      <c r="G40" s="6">
        <v>-289</v>
      </c>
      <c r="H40" s="6">
        <v>-329</v>
      </c>
      <c r="I40" s="6">
        <v>-349</v>
      </c>
      <c r="J40" s="6">
        <v>-369</v>
      </c>
      <c r="K40" s="101">
        <f>SLOPE(G40:J40, $G$1:$J$1)</f>
        <v>26</v>
      </c>
      <c r="L40" s="101">
        <f>INTERCEPT(G40:J40, $G$1:$J$1)</f>
        <v>-52737</v>
      </c>
      <c r="M40" s="101" t="s">
        <v>1020</v>
      </c>
      <c r="N40" s="4"/>
      <c r="O40" s="4"/>
      <c r="P40" s="4"/>
      <c r="Q40" s="4"/>
    </row>
    <row r="41" spans="1:23" x14ac:dyDescent="0.25">
      <c r="A41" s="98"/>
      <c r="F41" s="6"/>
      <c r="G41" s="6"/>
      <c r="H41" s="6"/>
      <c r="I41" s="6"/>
      <c r="J41" s="6"/>
      <c r="K41" s="4"/>
      <c r="L41" s="4"/>
      <c r="M41" s="4"/>
      <c r="N41" s="4"/>
      <c r="O41" s="4"/>
      <c r="P41" s="4"/>
      <c r="Q41" s="4"/>
    </row>
    <row r="42" spans="1:23" x14ac:dyDescent="0.25">
      <c r="A42" s="98" t="s">
        <v>774</v>
      </c>
      <c r="F42" s="6"/>
      <c r="G42" s="6">
        <f>SUM(G43:G44)</f>
        <v>23</v>
      </c>
      <c r="H42" s="6">
        <f>SUM(H43:H44)</f>
        <v>64</v>
      </c>
      <c r="I42" s="6">
        <f>SUM(I43:I44)</f>
        <v>61</v>
      </c>
      <c r="J42" s="6">
        <f>SUM(J43:J44)</f>
        <v>60</v>
      </c>
      <c r="K42" s="4"/>
      <c r="L42" s="4"/>
      <c r="M42" s="4"/>
      <c r="N42" s="4"/>
      <c r="O42" s="4"/>
      <c r="P42" s="4"/>
      <c r="Q42" s="4"/>
    </row>
    <row r="43" spans="1:23" x14ac:dyDescent="0.25">
      <c r="A43" s="148" t="s">
        <v>677</v>
      </c>
      <c r="F43" s="6"/>
      <c r="G43" s="6">
        <v>27</v>
      </c>
      <c r="H43" s="6">
        <v>69</v>
      </c>
      <c r="I43" s="6">
        <v>66</v>
      </c>
      <c r="J43" s="6">
        <v>65</v>
      </c>
      <c r="K43" s="4"/>
      <c r="L43" s="4"/>
      <c r="M43" s="4"/>
      <c r="N43" s="4"/>
      <c r="O43" s="4"/>
      <c r="P43" s="4"/>
      <c r="Q43" s="4"/>
    </row>
    <row r="44" spans="1:23" x14ac:dyDescent="0.25">
      <c r="A44" s="148" t="s">
        <v>715</v>
      </c>
      <c r="F44" s="6"/>
      <c r="G44" s="6">
        <v>-4</v>
      </c>
      <c r="H44" s="6">
        <v>-5</v>
      </c>
      <c r="I44" s="6">
        <v>-5</v>
      </c>
      <c r="J44" s="6">
        <v>-5</v>
      </c>
      <c r="K44" s="4"/>
      <c r="L44" s="4"/>
      <c r="M44" s="4"/>
      <c r="N44" s="4"/>
      <c r="O44" s="4"/>
      <c r="P44" s="4"/>
      <c r="Q44" s="4"/>
    </row>
    <row r="45" spans="1:23" x14ac:dyDescent="0.25">
      <c r="A45" s="98"/>
      <c r="B45" s="6"/>
      <c r="C45" s="6"/>
      <c r="D45" s="6"/>
      <c r="E45" s="6"/>
      <c r="F45" s="6"/>
      <c r="G45" s="6"/>
      <c r="H45" s="6"/>
      <c r="I45" s="4"/>
      <c r="J45" s="4"/>
      <c r="K45" s="6"/>
      <c r="L45" s="6"/>
      <c r="M45" s="6"/>
      <c r="N45" s="4"/>
      <c r="O45" s="4"/>
      <c r="P45" s="4"/>
      <c r="Q45" s="4"/>
    </row>
    <row r="46" spans="1:23" x14ac:dyDescent="0.25">
      <c r="A46" s="99" t="s">
        <v>726</v>
      </c>
      <c r="B46" s="6"/>
      <c r="C46" s="6"/>
      <c r="D46" s="6"/>
      <c r="E46" s="6"/>
      <c r="F46" s="6"/>
      <c r="G46" s="6"/>
      <c r="H46" s="6"/>
      <c r="I46" s="4"/>
      <c r="J46" s="4"/>
      <c r="K46" s="4"/>
      <c r="L46" s="4"/>
      <c r="M46" s="4"/>
      <c r="N46" s="4"/>
      <c r="O46" s="4"/>
      <c r="P46" s="4"/>
      <c r="Q46" s="4"/>
    </row>
    <row r="47" spans="1:23" x14ac:dyDescent="0.25">
      <c r="A47" s="98" t="s">
        <v>282</v>
      </c>
      <c r="B47" s="6" t="s">
        <v>405</v>
      </c>
      <c r="C47" s="6"/>
      <c r="D47" s="6" t="s">
        <v>406</v>
      </c>
      <c r="E47" s="6"/>
      <c r="F47" s="6"/>
      <c r="G47" s="6"/>
      <c r="H47" s="6"/>
      <c r="I47" s="4"/>
      <c r="J47" s="4"/>
      <c r="K47" s="4"/>
      <c r="L47" s="4"/>
      <c r="M47" s="4"/>
      <c r="N47" s="4"/>
      <c r="O47" s="4"/>
      <c r="P47" s="4"/>
      <c r="Q47" s="4"/>
    </row>
    <row r="48" spans="1:23" x14ac:dyDescent="0.25">
      <c r="A48" s="98" t="s">
        <v>295</v>
      </c>
      <c r="B48" s="6">
        <v>2017</v>
      </c>
      <c r="C48" s="6">
        <v>2016</v>
      </c>
      <c r="D48" s="6">
        <v>2017</v>
      </c>
      <c r="E48" s="6">
        <v>2016</v>
      </c>
      <c r="F48" s="6"/>
      <c r="G48" s="6"/>
      <c r="H48" s="6"/>
      <c r="I48" s="4"/>
      <c r="J48" s="4"/>
      <c r="K48" s="4"/>
      <c r="L48" s="4"/>
      <c r="M48" s="4"/>
      <c r="N48" s="4"/>
      <c r="O48" s="4"/>
      <c r="P48" s="4"/>
      <c r="Q48" s="4"/>
    </row>
    <row r="49" spans="1:17" x14ac:dyDescent="0.25">
      <c r="A49" s="148" t="s">
        <v>723</v>
      </c>
      <c r="B49" s="6">
        <v>2745</v>
      </c>
      <c r="C49" s="6">
        <v>2625</v>
      </c>
      <c r="D49" s="6">
        <v>1569</v>
      </c>
      <c r="E49" s="6">
        <v>1366</v>
      </c>
      <c r="F49" s="6"/>
      <c r="G49" s="6"/>
      <c r="H49" s="6"/>
      <c r="I49" s="4"/>
      <c r="J49" s="4"/>
      <c r="K49" s="4"/>
      <c r="L49" s="4"/>
      <c r="M49" s="4"/>
      <c r="N49" s="4"/>
      <c r="O49" s="4"/>
      <c r="P49" s="4"/>
      <c r="Q49" s="4"/>
    </row>
    <row r="50" spans="1:17" x14ac:dyDescent="0.25">
      <c r="A50" s="148" t="s">
        <v>741</v>
      </c>
      <c r="B50" s="6" t="s">
        <v>282</v>
      </c>
      <c r="C50" s="6" t="s">
        <v>282</v>
      </c>
      <c r="D50" s="6" t="s">
        <v>282</v>
      </c>
      <c r="E50" s="6" t="s">
        <v>282</v>
      </c>
      <c r="F50" s="6"/>
      <c r="G50" s="6"/>
      <c r="H50" s="6"/>
      <c r="I50" s="4"/>
      <c r="J50" s="4"/>
      <c r="K50" s="4"/>
      <c r="L50" s="4"/>
      <c r="M50" s="4"/>
      <c r="N50" s="4"/>
      <c r="O50" s="4"/>
      <c r="P50" s="4"/>
      <c r="Q50" s="4"/>
    </row>
    <row r="51" spans="1:17" x14ac:dyDescent="0.25">
      <c r="A51" s="169" t="s">
        <v>724</v>
      </c>
      <c r="B51" s="6">
        <v>323</v>
      </c>
      <c r="C51" s="6">
        <v>304</v>
      </c>
      <c r="D51" s="6">
        <v>0</v>
      </c>
      <c r="E51" s="6">
        <v>0</v>
      </c>
      <c r="F51" s="6"/>
      <c r="G51" s="6"/>
      <c r="H51" s="6"/>
      <c r="I51" s="4"/>
      <c r="J51" s="4"/>
      <c r="K51" s="4"/>
      <c r="L51" s="4"/>
      <c r="M51" s="4"/>
      <c r="N51" s="4"/>
      <c r="O51" s="4"/>
      <c r="P51" s="4"/>
      <c r="Q51" s="4"/>
    </row>
    <row r="52" spans="1:17" x14ac:dyDescent="0.25">
      <c r="A52" s="148" t="s">
        <v>740</v>
      </c>
      <c r="B52" s="6" t="s">
        <v>282</v>
      </c>
      <c r="C52" s="6" t="s">
        <v>282</v>
      </c>
      <c r="D52" s="6" t="s">
        <v>282</v>
      </c>
      <c r="E52" s="6" t="s">
        <v>282</v>
      </c>
      <c r="F52" s="6"/>
      <c r="G52" s="6"/>
      <c r="H52" s="6"/>
      <c r="I52" s="4"/>
      <c r="J52" s="4"/>
      <c r="K52" s="4"/>
      <c r="L52" s="4"/>
      <c r="M52" s="4"/>
      <c r="N52" s="4"/>
      <c r="O52" s="4"/>
      <c r="P52" s="4"/>
      <c r="Q52" s="4"/>
    </row>
    <row r="53" spans="1:17" x14ac:dyDescent="0.25">
      <c r="A53" s="169" t="s">
        <v>725</v>
      </c>
      <c r="B53" s="6">
        <v>344</v>
      </c>
      <c r="C53" s="6">
        <v>339</v>
      </c>
      <c r="D53" s="6">
        <v>0</v>
      </c>
      <c r="E53" s="6">
        <v>0</v>
      </c>
      <c r="F53" s="6"/>
      <c r="G53" s="6"/>
      <c r="H53" s="6"/>
      <c r="I53" s="4"/>
      <c r="J53" s="4"/>
      <c r="K53" s="4"/>
      <c r="L53" s="4"/>
      <c r="M53" s="4"/>
      <c r="N53" s="4"/>
      <c r="O53" s="4"/>
      <c r="P53" s="4"/>
      <c r="Q53" s="4"/>
    </row>
    <row r="54" spans="1:17" x14ac:dyDescent="0.25">
      <c r="A54" s="98"/>
      <c r="B54" s="6"/>
      <c r="C54" s="6"/>
      <c r="D54" s="6"/>
      <c r="E54" s="6"/>
      <c r="F54" s="6"/>
      <c r="G54" s="6"/>
      <c r="H54" s="6"/>
      <c r="I54" s="4"/>
      <c r="J54" s="4"/>
      <c r="K54" s="4"/>
      <c r="L54" s="4"/>
      <c r="M54" s="4"/>
      <c r="N54" s="4"/>
      <c r="O54" s="4"/>
      <c r="P54" s="4"/>
      <c r="Q54" s="4"/>
    </row>
    <row r="55" spans="1:17" x14ac:dyDescent="0.25">
      <c r="A55" s="98"/>
      <c r="B55" s="6"/>
      <c r="C55" s="6"/>
      <c r="D55" s="6"/>
      <c r="E55" s="6"/>
      <c r="F55" s="6"/>
      <c r="G55" s="6"/>
      <c r="H55" s="6"/>
      <c r="I55" s="4"/>
      <c r="J55" s="4"/>
      <c r="K55" s="4"/>
      <c r="L55" s="4"/>
      <c r="M55" s="4"/>
      <c r="N55" s="4"/>
      <c r="O55" s="4"/>
      <c r="P55" s="4"/>
      <c r="Q55" s="4"/>
    </row>
    <row r="56" spans="1:17" x14ac:dyDescent="0.25">
      <c r="A56" s="99" t="s">
        <v>764</v>
      </c>
      <c r="B56" s="6"/>
      <c r="C56" s="6"/>
      <c r="D56" s="6"/>
      <c r="E56" s="4"/>
      <c r="F56" s="6"/>
      <c r="G56" s="6"/>
      <c r="H56" s="6"/>
      <c r="I56" s="4"/>
      <c r="J56" s="4"/>
      <c r="K56" s="4"/>
      <c r="L56" s="4"/>
      <c r="M56" s="4"/>
      <c r="N56" s="4"/>
      <c r="O56" s="4"/>
      <c r="P56" s="4"/>
      <c r="Q56" s="4"/>
    </row>
    <row r="57" spans="1:17" x14ac:dyDescent="0.25">
      <c r="A57" s="98" t="s">
        <v>282</v>
      </c>
      <c r="B57" s="6" t="s">
        <v>298</v>
      </c>
      <c r="C57" s="6"/>
      <c r="D57" s="6"/>
      <c r="E57" s="4"/>
      <c r="F57" s="6"/>
      <c r="G57" s="6"/>
      <c r="H57" s="6"/>
      <c r="I57" s="4"/>
      <c r="J57" s="4"/>
      <c r="K57" s="4"/>
      <c r="L57" s="4"/>
      <c r="M57" s="4"/>
      <c r="N57" s="4"/>
      <c r="O57" s="4"/>
      <c r="P57" s="4"/>
      <c r="Q57" s="4"/>
    </row>
    <row r="58" spans="1:17" x14ac:dyDescent="0.25">
      <c r="A58" s="98" t="s">
        <v>295</v>
      </c>
      <c r="B58" s="6">
        <v>2017</v>
      </c>
      <c r="C58" s="6">
        <v>2016</v>
      </c>
      <c r="D58" s="6">
        <v>2015</v>
      </c>
      <c r="E58" s="4"/>
      <c r="F58" s="6"/>
      <c r="G58" s="6"/>
    </row>
    <row r="59" spans="1:17" x14ac:dyDescent="0.25">
      <c r="A59" s="98" t="s">
        <v>660</v>
      </c>
      <c r="B59" s="6">
        <v>14</v>
      </c>
      <c r="C59" s="6">
        <v>16</v>
      </c>
      <c r="D59" s="6">
        <v>15</v>
      </c>
      <c r="E59" s="4"/>
      <c r="F59" s="6"/>
      <c r="G59" s="6"/>
    </row>
    <row r="60" spans="1:17" x14ac:dyDescent="0.25">
      <c r="A60" s="98" t="s">
        <v>729</v>
      </c>
      <c r="B60" s="6">
        <v>6</v>
      </c>
      <c r="C60" s="6">
        <v>5</v>
      </c>
      <c r="D60" s="6">
        <v>5</v>
      </c>
      <c r="E60" s="4"/>
      <c r="F60" s="6"/>
      <c r="G60" s="6"/>
    </row>
    <row r="61" spans="1:17" x14ac:dyDescent="0.25">
      <c r="A61" s="98" t="s">
        <v>765</v>
      </c>
      <c r="B61" s="6">
        <v>20</v>
      </c>
      <c r="C61" s="6">
        <v>21</v>
      </c>
      <c r="D61" s="6">
        <v>20</v>
      </c>
      <c r="E61" s="4"/>
      <c r="F61" s="6"/>
      <c r="G61" s="6"/>
    </row>
    <row r="62" spans="1:17" x14ac:dyDescent="0.25">
      <c r="A62" s="98"/>
      <c r="B62" s="6"/>
      <c r="C62" s="6"/>
      <c r="D62" s="6"/>
      <c r="E62" s="4"/>
      <c r="F62" s="6"/>
      <c r="G62" s="6"/>
      <c r="H62" s="6"/>
      <c r="I62" s="4"/>
      <c r="J62" s="4"/>
      <c r="K62" s="4"/>
      <c r="L62" s="4"/>
      <c r="M62" s="4"/>
      <c r="N62" s="4"/>
      <c r="O62" s="4"/>
      <c r="P62" s="4"/>
      <c r="Q62" s="4"/>
    </row>
    <row r="63" spans="1:17" x14ac:dyDescent="0.25">
      <c r="A63" s="98"/>
      <c r="B63" s="6"/>
      <c r="C63" s="6"/>
      <c r="D63" s="6"/>
      <c r="E63" s="4"/>
      <c r="F63" s="6"/>
      <c r="G63" s="6"/>
      <c r="H63" s="6"/>
      <c r="I63" s="4"/>
      <c r="J63" s="4"/>
      <c r="K63" s="4"/>
      <c r="L63" s="4"/>
      <c r="M63" s="4"/>
      <c r="N63" s="4"/>
      <c r="O63" s="4"/>
      <c r="P63" s="4"/>
      <c r="Q63" s="4"/>
    </row>
    <row r="64" spans="1:17" x14ac:dyDescent="0.25">
      <c r="A64" s="98" t="s">
        <v>766</v>
      </c>
      <c r="B64" s="6"/>
      <c r="C64" s="6"/>
      <c r="D64" s="6"/>
      <c r="E64" s="4"/>
      <c r="F64" s="6"/>
      <c r="G64" s="6"/>
      <c r="H64" s="6"/>
      <c r="I64" s="4"/>
      <c r="J64" s="4"/>
      <c r="K64" s="4"/>
      <c r="L64" s="4"/>
      <c r="M64" s="4"/>
      <c r="N64" s="4"/>
      <c r="O64" s="4"/>
      <c r="P64" s="4"/>
      <c r="Q64" s="4"/>
    </row>
    <row r="65" spans="1:17" x14ac:dyDescent="0.25">
      <c r="A65" s="98" t="s">
        <v>282</v>
      </c>
      <c r="B65" s="6" t="s">
        <v>298</v>
      </c>
      <c r="C65" s="6"/>
      <c r="D65" s="6"/>
      <c r="E65" s="4"/>
      <c r="F65" s="6"/>
      <c r="G65" s="6"/>
      <c r="H65" s="6"/>
      <c r="I65" s="4"/>
      <c r="J65" s="4"/>
      <c r="K65" s="4"/>
      <c r="L65" s="4"/>
      <c r="M65" s="4"/>
      <c r="N65" s="4"/>
      <c r="O65" s="4"/>
      <c r="P65" s="4"/>
      <c r="Q65" s="4"/>
    </row>
    <row r="66" spans="1:17" x14ac:dyDescent="0.25">
      <c r="A66" s="98" t="s">
        <v>295</v>
      </c>
      <c r="B66" s="6">
        <v>2017</v>
      </c>
      <c r="C66" s="6">
        <v>2016</v>
      </c>
      <c r="D66" s="6">
        <v>2015</v>
      </c>
      <c r="E66" s="4"/>
      <c r="F66" s="6"/>
      <c r="G66" s="6"/>
      <c r="H66" s="6"/>
      <c r="I66" s="4"/>
      <c r="J66" s="4"/>
      <c r="K66" s="4"/>
      <c r="L66" s="4"/>
      <c r="M66" s="4"/>
      <c r="N66" s="4"/>
      <c r="O66" s="4"/>
      <c r="P66" s="4"/>
      <c r="Q66" s="4"/>
    </row>
    <row r="67" spans="1:17" x14ac:dyDescent="0.25">
      <c r="A67" s="98" t="s">
        <v>729</v>
      </c>
      <c r="B67" s="172">
        <v>-6</v>
      </c>
      <c r="C67" s="172">
        <v>-6</v>
      </c>
      <c r="D67" s="172">
        <v>-5</v>
      </c>
      <c r="E67" s="4"/>
      <c r="F67" s="6"/>
      <c r="G67" s="6"/>
      <c r="H67" s="6"/>
      <c r="I67" s="4"/>
      <c r="J67" s="4"/>
      <c r="K67" s="4"/>
      <c r="L67" s="4"/>
      <c r="M67" s="4"/>
      <c r="N67" s="4"/>
      <c r="O67" s="4"/>
      <c r="P67" s="4"/>
      <c r="Q67" s="4"/>
    </row>
    <row r="68" spans="1:17" x14ac:dyDescent="0.25">
      <c r="A68" s="98" t="s">
        <v>733</v>
      </c>
      <c r="B68" s="6">
        <v>-35</v>
      </c>
      <c r="C68" s="6">
        <v>9</v>
      </c>
      <c r="D68" s="6">
        <v>6</v>
      </c>
      <c r="E68" s="4"/>
      <c r="F68" s="6"/>
      <c r="G68" s="6"/>
      <c r="H68" s="6"/>
      <c r="I68" s="4"/>
      <c r="J68" s="4"/>
      <c r="K68" s="4"/>
      <c r="L68" s="4"/>
      <c r="M68" s="4"/>
      <c r="N68" s="4"/>
      <c r="O68" s="4"/>
      <c r="P68" s="4"/>
      <c r="Q68" s="4"/>
    </row>
    <row r="69" spans="1:17" x14ac:dyDescent="0.25">
      <c r="A69" s="98" t="s">
        <v>736</v>
      </c>
      <c r="B69" s="172">
        <v>-41</v>
      </c>
      <c r="C69" s="6">
        <v>3</v>
      </c>
      <c r="D69" s="6">
        <v>1</v>
      </c>
      <c r="E69" s="4"/>
      <c r="F69" s="6"/>
      <c r="G69" s="6"/>
      <c r="H69" s="6"/>
      <c r="I69" s="4"/>
      <c r="J69" s="4"/>
      <c r="K69" s="4"/>
      <c r="L69" s="4"/>
      <c r="M69" s="4"/>
      <c r="N69" s="4"/>
      <c r="O69" s="4"/>
      <c r="P69" s="4"/>
      <c r="Q69" s="4"/>
    </row>
    <row r="70" spans="1:17" x14ac:dyDescent="0.25">
      <c r="A70" s="98"/>
      <c r="B70" s="6"/>
      <c r="C70" s="6"/>
      <c r="D70" s="6"/>
      <c r="E70" s="4"/>
      <c r="F70" s="6"/>
      <c r="G70" s="6"/>
      <c r="H70" s="6"/>
      <c r="I70" s="4"/>
      <c r="J70" s="4"/>
      <c r="K70" s="4"/>
      <c r="L70" s="4"/>
      <c r="M70" s="4"/>
      <c r="N70" s="4"/>
      <c r="O70" s="4"/>
      <c r="P70" s="4"/>
      <c r="Q70" s="4"/>
    </row>
    <row r="71" spans="1:17" x14ac:dyDescent="0.25">
      <c r="A71" s="98" t="s">
        <v>282</v>
      </c>
      <c r="B71" s="6" t="s">
        <v>282</v>
      </c>
      <c r="C71" s="6" t="s">
        <v>282</v>
      </c>
      <c r="D71" s="6" t="s">
        <v>282</v>
      </c>
      <c r="E71" s="4"/>
      <c r="F71" s="6"/>
      <c r="G71" s="6"/>
      <c r="H71" s="6"/>
      <c r="I71" s="4"/>
      <c r="J71" s="4"/>
      <c r="K71" s="4"/>
      <c r="L71" s="4"/>
      <c r="M71" s="4"/>
      <c r="N71" s="4"/>
      <c r="O71" s="4"/>
      <c r="P71" s="4"/>
      <c r="Q71" s="4"/>
    </row>
    <row r="72" spans="1:17" x14ac:dyDescent="0.25">
      <c r="A72" s="98" t="s">
        <v>767</v>
      </c>
      <c r="B72" s="172">
        <v>-21</v>
      </c>
      <c r="C72" s="6">
        <v>24</v>
      </c>
      <c r="D72" s="6">
        <v>21</v>
      </c>
      <c r="E72" s="4"/>
      <c r="F72" s="6"/>
      <c r="G72" s="6"/>
      <c r="H72" s="6"/>
      <c r="I72" s="4"/>
      <c r="J72" s="4"/>
      <c r="K72" s="4"/>
      <c r="L72" s="4"/>
      <c r="M72" s="4"/>
      <c r="N72" s="4"/>
      <c r="O72" s="4"/>
      <c r="P72" s="4"/>
      <c r="Q72" s="4"/>
    </row>
    <row r="73" spans="1:17" x14ac:dyDescent="0.25">
      <c r="A73" s="98"/>
      <c r="B73" s="6"/>
      <c r="C73" s="6"/>
      <c r="D73" s="6"/>
      <c r="E73" s="6"/>
      <c r="F73" s="6"/>
      <c r="G73" s="6"/>
      <c r="H73" s="6"/>
      <c r="I73" s="4"/>
      <c r="J73" s="4"/>
      <c r="K73" s="4"/>
      <c r="L73" s="4"/>
      <c r="M73" s="4"/>
      <c r="N73" s="4"/>
      <c r="O73" s="4"/>
      <c r="P73" s="4"/>
      <c r="Q73" s="4"/>
    </row>
    <row r="74" spans="1:17" x14ac:dyDescent="0.25">
      <c r="A74" s="98"/>
      <c r="B74" s="6"/>
      <c r="C74" s="6"/>
      <c r="D74" s="6"/>
      <c r="E74" s="6"/>
      <c r="F74" s="6"/>
      <c r="G74" s="6"/>
      <c r="H74" s="6"/>
      <c r="I74" s="4"/>
      <c r="J74" s="4"/>
      <c r="K74" s="4"/>
      <c r="L74" s="4"/>
      <c r="M74" s="4"/>
      <c r="N74" s="4"/>
      <c r="O74" s="4"/>
      <c r="P74" s="98"/>
      <c r="Q74" s="6"/>
    </row>
    <row r="75" spans="1:17" x14ac:dyDescent="0.25">
      <c r="A75" s="98"/>
      <c r="B75" s="6"/>
      <c r="C75" s="6"/>
      <c r="D75" s="6"/>
      <c r="E75" s="6"/>
      <c r="F75" s="6"/>
      <c r="G75" s="6"/>
      <c r="H75" s="6"/>
      <c r="I75" s="4"/>
      <c r="J75" s="4"/>
      <c r="K75" s="4"/>
      <c r="L75" s="4"/>
      <c r="M75" s="4"/>
      <c r="N75" s="4"/>
      <c r="O75" s="4"/>
      <c r="P75" s="4"/>
      <c r="Q75" s="4"/>
    </row>
    <row r="76" spans="1:17" x14ac:dyDescent="0.25">
      <c r="A76" s="171" t="s">
        <v>731</v>
      </c>
      <c r="B76" s="6" t="s">
        <v>656</v>
      </c>
      <c r="C76" s="6"/>
      <c r="D76" s="6"/>
      <c r="E76" s="6"/>
      <c r="F76" s="6"/>
      <c r="G76" s="6"/>
      <c r="H76" s="6"/>
      <c r="I76" s="4"/>
      <c r="J76" s="4"/>
      <c r="K76" s="4"/>
      <c r="L76" s="4"/>
      <c r="M76" s="4"/>
      <c r="N76" s="4"/>
      <c r="O76" s="4"/>
      <c r="P76" s="4"/>
      <c r="Q76" s="4"/>
    </row>
    <row r="77" spans="1:17" x14ac:dyDescent="0.25">
      <c r="A77" s="98" t="s">
        <v>282</v>
      </c>
      <c r="B77" s="6" t="s">
        <v>405</v>
      </c>
      <c r="C77" s="4"/>
      <c r="D77" s="4"/>
      <c r="E77" s="6"/>
      <c r="F77" s="4"/>
      <c r="G77" s="4" t="s">
        <v>406</v>
      </c>
      <c r="H77" s="4"/>
      <c r="I77" s="6"/>
      <c r="J77" s="4"/>
      <c r="K77" s="4"/>
      <c r="L77" s="4"/>
      <c r="M77" s="4"/>
      <c r="N77" s="4"/>
      <c r="O77" s="4"/>
      <c r="P77" s="4"/>
      <c r="Q77" s="4"/>
    </row>
    <row r="78" spans="1:17" x14ac:dyDescent="0.25">
      <c r="A78" s="98" t="s">
        <v>295</v>
      </c>
      <c r="B78" s="6">
        <v>2017</v>
      </c>
      <c r="C78" s="6">
        <v>2016</v>
      </c>
      <c r="D78" s="6">
        <v>2015</v>
      </c>
      <c r="E78" s="6"/>
      <c r="F78" s="6"/>
      <c r="G78" s="6">
        <v>2017</v>
      </c>
      <c r="H78" s="6">
        <v>2016</v>
      </c>
      <c r="I78" s="6">
        <v>2015</v>
      </c>
      <c r="J78" s="4"/>
      <c r="K78" s="4"/>
      <c r="L78" s="4"/>
      <c r="M78" s="4"/>
      <c r="N78" s="4"/>
      <c r="O78" s="4"/>
      <c r="P78" s="4"/>
      <c r="Q78" s="4"/>
    </row>
    <row r="79" spans="1:17" x14ac:dyDescent="0.25">
      <c r="A79" s="98" t="s">
        <v>659</v>
      </c>
      <c r="B79" s="6">
        <v>107</v>
      </c>
      <c r="C79" s="6">
        <v>90</v>
      </c>
      <c r="D79" s="6">
        <v>80</v>
      </c>
      <c r="E79" s="6"/>
      <c r="F79" s="6"/>
      <c r="G79" s="6">
        <v>26</v>
      </c>
      <c r="H79" s="6">
        <v>21</v>
      </c>
      <c r="I79" s="6">
        <v>27</v>
      </c>
      <c r="J79" s="4"/>
      <c r="K79" s="4"/>
      <c r="L79" s="4"/>
      <c r="M79" s="4"/>
      <c r="N79" s="4"/>
      <c r="O79" s="4"/>
      <c r="P79" s="4"/>
      <c r="Q79" s="4"/>
    </row>
    <row r="80" spans="1:17" x14ac:dyDescent="0.25">
      <c r="A80" s="98" t="s">
        <v>660</v>
      </c>
      <c r="B80" s="6">
        <v>106</v>
      </c>
      <c r="C80" s="6">
        <v>109</v>
      </c>
      <c r="D80" s="6">
        <v>102</v>
      </c>
      <c r="E80" s="6"/>
      <c r="F80" s="6"/>
      <c r="G80" s="6">
        <v>40</v>
      </c>
      <c r="H80" s="6">
        <v>50</v>
      </c>
      <c r="I80" s="6">
        <v>56</v>
      </c>
      <c r="J80" s="4"/>
      <c r="K80" s="4"/>
      <c r="L80" s="4"/>
      <c r="M80" s="4"/>
      <c r="N80" s="4"/>
      <c r="O80" s="4"/>
      <c r="P80" s="4"/>
      <c r="Q80" s="4"/>
    </row>
    <row r="81" spans="1:17" x14ac:dyDescent="0.25">
      <c r="A81" s="98" t="s">
        <v>727</v>
      </c>
      <c r="B81" s="6">
        <v>-204</v>
      </c>
      <c r="C81" s="6">
        <v>-201</v>
      </c>
      <c r="D81" s="6">
        <v>-189</v>
      </c>
      <c r="E81" s="6"/>
      <c r="F81" s="6"/>
      <c r="G81" s="6">
        <v>-70</v>
      </c>
      <c r="H81" s="4">
        <v>-71</v>
      </c>
      <c r="I81" s="6">
        <v>-91</v>
      </c>
      <c r="J81" s="4"/>
      <c r="K81" s="4"/>
      <c r="L81" s="4"/>
      <c r="M81" s="4"/>
      <c r="N81" s="4"/>
      <c r="O81" s="4"/>
      <c r="P81" s="4"/>
      <c r="Q81" s="4"/>
    </row>
    <row r="82" spans="1:17" x14ac:dyDescent="0.25">
      <c r="A82" s="98" t="s">
        <v>728</v>
      </c>
      <c r="B82" s="6">
        <v>0</v>
      </c>
      <c r="C82" s="6">
        <v>0</v>
      </c>
      <c r="D82" s="6">
        <v>-1</v>
      </c>
      <c r="E82" s="6"/>
      <c r="F82" s="6"/>
      <c r="G82" s="6">
        <v>0</v>
      </c>
      <c r="H82" s="6">
        <v>0</v>
      </c>
      <c r="I82" s="6">
        <v>0</v>
      </c>
      <c r="J82" s="4"/>
      <c r="K82" s="4"/>
      <c r="L82" s="4"/>
      <c r="M82" s="4"/>
      <c r="N82" s="4"/>
      <c r="O82" s="4"/>
      <c r="P82" s="4"/>
      <c r="Q82" s="4"/>
    </row>
    <row r="83" spans="1:17" x14ac:dyDescent="0.25">
      <c r="A83" s="98" t="s">
        <v>729</v>
      </c>
      <c r="B83" s="6">
        <v>37</v>
      </c>
      <c r="C83" s="6">
        <v>29</v>
      </c>
      <c r="D83" s="6">
        <v>45</v>
      </c>
      <c r="E83" s="6"/>
      <c r="F83" s="6"/>
      <c r="G83" s="6">
        <v>40</v>
      </c>
      <c r="H83" s="6">
        <v>15</v>
      </c>
      <c r="I83" s="6">
        <v>34</v>
      </c>
      <c r="J83" s="4"/>
      <c r="K83" s="4"/>
      <c r="L83" s="4"/>
      <c r="M83" s="4"/>
      <c r="N83" s="4"/>
      <c r="O83" s="4"/>
      <c r="P83" s="4"/>
      <c r="Q83" s="4"/>
    </row>
    <row r="84" spans="1:17" x14ac:dyDescent="0.25">
      <c r="A84" s="148" t="s">
        <v>730</v>
      </c>
      <c r="B84" s="6">
        <v>46</v>
      </c>
      <c r="C84" s="6">
        <v>27</v>
      </c>
      <c r="D84" s="6">
        <v>37</v>
      </c>
      <c r="E84" s="6"/>
      <c r="F84" s="6"/>
      <c r="G84" s="6">
        <v>36</v>
      </c>
      <c r="H84" s="6">
        <v>15</v>
      </c>
      <c r="I84" s="6">
        <v>26</v>
      </c>
      <c r="J84" s="4"/>
      <c r="K84" s="4"/>
      <c r="L84" s="4"/>
      <c r="M84" s="4"/>
      <c r="N84" s="4"/>
      <c r="O84" s="4"/>
      <c r="P84" s="4"/>
      <c r="Q84" s="4"/>
    </row>
    <row r="85" spans="1:17" x14ac:dyDescent="0.25">
      <c r="A85" s="98"/>
      <c r="B85" s="6"/>
      <c r="C85" s="6"/>
      <c r="D85" s="6"/>
      <c r="E85" s="6"/>
      <c r="F85" s="6"/>
      <c r="G85" s="6"/>
      <c r="H85" s="6"/>
      <c r="I85" s="6"/>
      <c r="J85" s="4"/>
      <c r="K85" s="4"/>
      <c r="L85" s="4"/>
      <c r="M85" s="4"/>
      <c r="N85" s="4"/>
      <c r="O85" s="4"/>
      <c r="P85" s="4"/>
      <c r="Q85" s="4"/>
    </row>
    <row r="86" spans="1:17" x14ac:dyDescent="0.25">
      <c r="A86" s="171" t="s">
        <v>739</v>
      </c>
      <c r="B86" s="6"/>
      <c r="C86" s="6"/>
      <c r="D86" s="6"/>
      <c r="E86" s="6"/>
      <c r="F86" s="6"/>
      <c r="G86" s="6"/>
      <c r="H86" s="6"/>
      <c r="I86" s="4"/>
      <c r="J86" s="4"/>
      <c r="K86" s="4"/>
      <c r="L86" s="4"/>
      <c r="M86" s="4"/>
      <c r="N86" s="4"/>
      <c r="O86" s="4"/>
      <c r="P86" s="4"/>
      <c r="Q86" s="4"/>
    </row>
    <row r="87" spans="1:17" x14ac:dyDescent="0.25">
      <c r="A87" s="98" t="s">
        <v>295</v>
      </c>
      <c r="B87" s="6">
        <v>2017</v>
      </c>
      <c r="C87" s="6">
        <v>2016</v>
      </c>
      <c r="D87" s="6">
        <v>2015</v>
      </c>
      <c r="E87" s="6"/>
      <c r="F87" s="6"/>
      <c r="G87" s="6"/>
      <c r="H87" s="6"/>
      <c r="I87" s="4"/>
      <c r="J87" s="4"/>
      <c r="K87" s="4"/>
      <c r="L87" s="4"/>
      <c r="M87" s="4"/>
      <c r="N87" s="4"/>
      <c r="O87" s="4"/>
      <c r="P87" s="4"/>
      <c r="Q87" s="4"/>
    </row>
    <row r="88" spans="1:17" x14ac:dyDescent="0.25">
      <c r="A88" s="98" t="s">
        <v>732</v>
      </c>
      <c r="B88" s="6">
        <v>0</v>
      </c>
      <c r="C88" s="6">
        <v>0</v>
      </c>
      <c r="D88" s="6">
        <v>1</v>
      </c>
      <c r="E88" s="6"/>
      <c r="F88" s="6"/>
      <c r="G88" s="6"/>
      <c r="H88" s="6"/>
      <c r="I88" s="4"/>
      <c r="J88" s="4"/>
      <c r="K88" s="4"/>
      <c r="L88" s="4"/>
      <c r="M88" s="4"/>
      <c r="N88" s="4"/>
      <c r="O88" s="4"/>
      <c r="P88" s="4"/>
      <c r="Q88" s="4"/>
    </row>
    <row r="89" spans="1:17" x14ac:dyDescent="0.25">
      <c r="A89" s="98" t="s">
        <v>729</v>
      </c>
      <c r="B89" s="6">
        <v>-77</v>
      </c>
      <c r="C89" s="6">
        <v>-44</v>
      </c>
      <c r="D89" s="6">
        <v>-79</v>
      </c>
      <c r="E89" s="6"/>
      <c r="F89" s="6"/>
      <c r="G89" s="6"/>
      <c r="H89" s="6"/>
      <c r="I89" s="4"/>
      <c r="J89" s="4"/>
      <c r="K89" s="4"/>
      <c r="L89" s="4"/>
      <c r="M89" s="4"/>
      <c r="N89" s="4"/>
      <c r="O89" s="4"/>
      <c r="P89" s="4"/>
      <c r="Q89" s="4"/>
    </row>
    <row r="90" spans="1:17" x14ac:dyDescent="0.25">
      <c r="A90" s="98" t="s">
        <v>733</v>
      </c>
      <c r="B90" s="6">
        <v>-40</v>
      </c>
      <c r="C90" s="6">
        <v>107</v>
      </c>
      <c r="D90" s="6">
        <v>105</v>
      </c>
      <c r="E90" s="6"/>
      <c r="F90" s="6"/>
      <c r="G90" s="6"/>
      <c r="H90" s="6"/>
      <c r="I90" s="4"/>
      <c r="J90" s="4"/>
      <c r="K90" s="4"/>
      <c r="L90" s="4"/>
      <c r="M90" s="4"/>
      <c r="N90" s="4"/>
      <c r="O90" s="4"/>
      <c r="P90" s="4"/>
      <c r="Q90" s="4"/>
    </row>
    <row r="91" spans="1:17" x14ac:dyDescent="0.25">
      <c r="A91" s="98" t="s">
        <v>734</v>
      </c>
      <c r="B91" s="6">
        <v>30</v>
      </c>
      <c r="C91" s="6">
        <v>-28</v>
      </c>
      <c r="D91" s="6">
        <v>-7</v>
      </c>
      <c r="E91" s="6"/>
      <c r="F91" s="6"/>
      <c r="G91" s="6"/>
      <c r="H91" s="6"/>
      <c r="I91" s="4"/>
      <c r="J91" s="4"/>
      <c r="K91" s="4"/>
      <c r="L91" s="4"/>
      <c r="M91" s="4"/>
      <c r="N91" s="4"/>
      <c r="O91" s="4"/>
      <c r="P91" s="4"/>
      <c r="Q91" s="4"/>
    </row>
    <row r="92" spans="1:17" x14ac:dyDescent="0.25">
      <c r="A92" s="148" t="s">
        <v>736</v>
      </c>
      <c r="B92" s="172">
        <v>-87</v>
      </c>
      <c r="C92" s="6">
        <v>35</v>
      </c>
      <c r="D92" s="6">
        <v>20</v>
      </c>
      <c r="E92" s="6"/>
      <c r="F92" s="6"/>
      <c r="G92" s="6"/>
      <c r="H92" s="6"/>
      <c r="I92" s="4"/>
      <c r="J92" s="4"/>
      <c r="K92" s="4"/>
      <c r="L92" s="4"/>
      <c r="M92" s="4"/>
      <c r="N92" s="4"/>
      <c r="O92" s="4"/>
      <c r="P92" s="4"/>
      <c r="Q92" s="4"/>
    </row>
    <row r="93" spans="1:17" x14ac:dyDescent="0.25">
      <c r="A93" s="98"/>
      <c r="B93" s="6"/>
      <c r="C93" s="6"/>
      <c r="D93" s="6"/>
      <c r="E93" s="6"/>
      <c r="F93" s="6"/>
      <c r="G93" s="6"/>
      <c r="H93" s="6"/>
      <c r="I93" s="4"/>
      <c r="J93" s="4"/>
      <c r="K93" s="4"/>
      <c r="L93" s="4"/>
      <c r="M93" s="4"/>
      <c r="N93" s="4"/>
      <c r="O93" s="4"/>
      <c r="P93" s="4"/>
      <c r="Q93" s="4"/>
    </row>
    <row r="94" spans="1:17" x14ac:dyDescent="0.25">
      <c r="A94" s="98" t="s">
        <v>282</v>
      </c>
      <c r="B94" s="6" t="s">
        <v>282</v>
      </c>
      <c r="C94" s="6" t="s">
        <v>282</v>
      </c>
      <c r="D94" s="6" t="s">
        <v>282</v>
      </c>
      <c r="E94" s="6"/>
      <c r="F94" s="6"/>
      <c r="G94" s="6"/>
      <c r="H94" s="6"/>
      <c r="I94" s="4"/>
      <c r="J94" s="4"/>
      <c r="K94" s="4"/>
      <c r="L94" s="4"/>
      <c r="M94" s="4"/>
      <c r="N94" s="4"/>
      <c r="O94" s="4"/>
      <c r="P94" s="4"/>
      <c r="Q94" s="4"/>
    </row>
    <row r="95" spans="1:17" x14ac:dyDescent="0.25">
      <c r="A95" s="125" t="s">
        <v>735</v>
      </c>
      <c r="B95" s="172">
        <v>-5</v>
      </c>
      <c r="C95" s="6">
        <v>77</v>
      </c>
      <c r="D95" s="6">
        <v>83</v>
      </c>
      <c r="E95" s="6"/>
      <c r="F95" s="6"/>
      <c r="G95" s="6"/>
      <c r="H95" s="6"/>
      <c r="I95" s="4"/>
      <c r="J95" s="4"/>
      <c r="K95" s="4"/>
      <c r="L95" s="4"/>
      <c r="M95" s="4"/>
      <c r="N95" s="4"/>
      <c r="O95" s="4"/>
      <c r="P95" s="4"/>
      <c r="Q95" s="4"/>
    </row>
    <row r="96" spans="1:17" x14ac:dyDescent="0.25">
      <c r="A96" s="98"/>
      <c r="B96" s="6"/>
      <c r="C96" s="6"/>
      <c r="D96" s="6"/>
      <c r="E96" s="6"/>
      <c r="F96" s="6"/>
      <c r="G96" s="6"/>
      <c r="H96" s="6"/>
      <c r="I96" s="4"/>
      <c r="J96" s="4"/>
      <c r="K96" s="4"/>
      <c r="L96" s="4"/>
      <c r="M96" s="4"/>
      <c r="N96" s="4"/>
      <c r="O96" s="4"/>
      <c r="P96" s="4"/>
      <c r="Q96" s="4"/>
    </row>
    <row r="97" spans="1:17" x14ac:dyDescent="0.25">
      <c r="A97" s="98"/>
      <c r="B97" s="6"/>
      <c r="C97" s="6"/>
      <c r="D97" s="6"/>
      <c r="E97" s="6"/>
      <c r="F97" s="6"/>
      <c r="G97" s="6"/>
      <c r="H97" s="6"/>
      <c r="I97" s="4"/>
      <c r="J97" s="4"/>
      <c r="K97" s="4"/>
      <c r="L97" s="4"/>
      <c r="M97" s="4"/>
      <c r="N97" s="4"/>
      <c r="O97" s="4"/>
      <c r="P97" s="4"/>
      <c r="Q97" s="4"/>
    </row>
    <row r="98" spans="1:17" x14ac:dyDescent="0.25">
      <c r="A98" s="99" t="s">
        <v>58</v>
      </c>
      <c r="B98" s="6"/>
      <c r="C98" s="6"/>
      <c r="D98" s="6"/>
      <c r="E98" s="6"/>
      <c r="F98" s="6"/>
      <c r="G98" s="6"/>
      <c r="H98" s="6"/>
      <c r="I98" s="4"/>
      <c r="J98" s="4"/>
      <c r="K98" s="4"/>
      <c r="L98" s="4"/>
      <c r="M98" s="4"/>
      <c r="N98" s="4"/>
      <c r="O98" s="4"/>
      <c r="P98" s="4"/>
      <c r="Q98" s="4"/>
    </row>
    <row r="99" spans="1:17" x14ac:dyDescent="0.25">
      <c r="A99" s="98" t="s">
        <v>742</v>
      </c>
      <c r="B99" s="6" t="s">
        <v>282</v>
      </c>
      <c r="C99" s="6" t="s">
        <v>656</v>
      </c>
      <c r="D99" s="6"/>
      <c r="E99" s="6"/>
      <c r="F99" s="6"/>
      <c r="G99" s="6"/>
      <c r="H99" s="6"/>
      <c r="I99" s="4"/>
      <c r="J99" s="94"/>
      <c r="K99" s="94"/>
      <c r="L99" s="94"/>
      <c r="M99" s="94"/>
      <c r="N99" s="133"/>
      <c r="O99" s="133"/>
      <c r="P99" s="133"/>
      <c r="Q99" s="134"/>
    </row>
    <row r="100" spans="1:17" x14ac:dyDescent="0.25">
      <c r="A100" s="98" t="s">
        <v>282</v>
      </c>
      <c r="B100" s="6" t="s">
        <v>282</v>
      </c>
      <c r="C100" s="6" t="s">
        <v>405</v>
      </c>
      <c r="D100" s="6"/>
      <c r="E100" s="6"/>
      <c r="F100" s="6" t="s">
        <v>406</v>
      </c>
      <c r="G100" s="6"/>
      <c r="H100" s="6" t="s">
        <v>282</v>
      </c>
      <c r="I100" s="4"/>
      <c r="J100" s="4"/>
      <c r="K100" s="4"/>
      <c r="L100" s="4"/>
      <c r="M100" s="4"/>
      <c r="N100" s="4"/>
      <c r="O100" s="4"/>
      <c r="P100" s="4"/>
      <c r="Q100" s="4"/>
    </row>
    <row r="101" spans="1:17" x14ac:dyDescent="0.25">
      <c r="A101" s="98" t="s">
        <v>282</v>
      </c>
      <c r="B101" s="6" t="s">
        <v>282</v>
      </c>
      <c r="C101" s="115">
        <v>2017</v>
      </c>
      <c r="D101" s="115">
        <v>2016</v>
      </c>
      <c r="E101" s="115" t="s">
        <v>282</v>
      </c>
      <c r="F101" s="119">
        <v>2017</v>
      </c>
      <c r="G101" s="119">
        <v>2016</v>
      </c>
      <c r="H101" s="6" t="s">
        <v>282</v>
      </c>
      <c r="I101" s="4"/>
      <c r="J101" s="4"/>
      <c r="K101" s="4"/>
      <c r="L101" s="4"/>
      <c r="M101" s="4"/>
      <c r="N101" s="4"/>
      <c r="O101" s="4"/>
      <c r="P101" s="4"/>
      <c r="Q101" s="4"/>
    </row>
    <row r="102" spans="1:17" x14ac:dyDescent="0.25">
      <c r="A102" s="98" t="s">
        <v>737</v>
      </c>
      <c r="B102" s="6" t="s">
        <v>282</v>
      </c>
      <c r="C102" s="174">
        <v>3.6600000000000001E-2</v>
      </c>
      <c r="D102" s="174">
        <v>4.1200000000000001E-2</v>
      </c>
      <c r="E102" s="174"/>
      <c r="F102" s="175">
        <v>2.5499999999999998E-2</v>
      </c>
      <c r="G102" s="175">
        <v>2.7000000000000003E-2</v>
      </c>
      <c r="H102" s="6" t="s">
        <v>282</v>
      </c>
      <c r="I102" s="4"/>
      <c r="J102" s="4"/>
      <c r="K102" s="4"/>
      <c r="L102" s="4"/>
      <c r="M102" s="4"/>
      <c r="N102" s="4"/>
      <c r="O102" s="4"/>
      <c r="P102" s="4"/>
      <c r="Q102" s="4"/>
    </row>
    <row r="103" spans="1:17" x14ac:dyDescent="0.25">
      <c r="A103" s="98" t="s">
        <v>738</v>
      </c>
      <c r="B103" s="6" t="s">
        <v>282</v>
      </c>
      <c r="C103" s="174">
        <v>2.9900000000000003E-2</v>
      </c>
      <c r="D103" s="174">
        <v>4.87E-2</v>
      </c>
      <c r="E103" s="174"/>
      <c r="F103" s="175">
        <v>3.7499999999999999E-2</v>
      </c>
      <c r="G103" s="175">
        <v>3.7499999999999999E-2</v>
      </c>
      <c r="H103" s="6" t="s">
        <v>282</v>
      </c>
      <c r="I103" s="4"/>
      <c r="J103" s="4"/>
      <c r="K103" s="4"/>
      <c r="L103" s="4"/>
      <c r="M103" s="4"/>
      <c r="N103" s="4"/>
      <c r="O103" s="4"/>
      <c r="P103" s="4"/>
      <c r="Q103" s="4"/>
    </row>
    <row r="104" spans="1:17" x14ac:dyDescent="0.25">
      <c r="A104" s="98"/>
      <c r="B104" s="6"/>
      <c r="C104" s="6"/>
      <c r="D104" s="6"/>
      <c r="E104" s="6"/>
      <c r="F104" s="6"/>
      <c r="G104" s="6"/>
      <c r="H104" s="6"/>
      <c r="I104" s="4"/>
      <c r="J104" s="4"/>
      <c r="K104" s="4"/>
      <c r="L104" s="4"/>
      <c r="M104" s="4"/>
      <c r="N104" s="4"/>
      <c r="O104" s="4"/>
      <c r="P104" s="4"/>
      <c r="Q104" s="4"/>
    </row>
    <row r="105" spans="1:17" x14ac:dyDescent="0.25">
      <c r="A105" s="98" t="s">
        <v>282</v>
      </c>
      <c r="B105" s="6" t="s">
        <v>282</v>
      </c>
      <c r="C105" s="6" t="s">
        <v>656</v>
      </c>
      <c r="D105" s="6"/>
      <c r="E105" s="6"/>
      <c r="F105" s="6"/>
      <c r="G105" s="6"/>
      <c r="H105" s="6"/>
      <c r="I105" s="4"/>
      <c r="J105" s="4"/>
      <c r="K105" s="4"/>
      <c r="L105" s="4"/>
      <c r="M105" s="4"/>
      <c r="N105" s="4"/>
      <c r="O105" s="4"/>
      <c r="P105" s="4"/>
      <c r="Q105" s="4"/>
    </row>
    <row r="106" spans="1:17" x14ac:dyDescent="0.25">
      <c r="A106" s="98" t="s">
        <v>743</v>
      </c>
      <c r="B106" s="6" t="s">
        <v>282</v>
      </c>
      <c r="C106" s="6" t="s">
        <v>405</v>
      </c>
      <c r="D106" s="6"/>
      <c r="E106" s="6"/>
      <c r="F106" s="4"/>
      <c r="G106" s="4" t="s">
        <v>406</v>
      </c>
      <c r="H106" s="4"/>
      <c r="I106" s="4"/>
      <c r="J106" s="4"/>
      <c r="K106" s="4"/>
      <c r="L106" s="4"/>
      <c r="M106" s="4"/>
      <c r="N106" s="4"/>
      <c r="O106" s="4"/>
      <c r="P106" s="4"/>
      <c r="Q106" s="4"/>
    </row>
    <row r="107" spans="1:17" x14ac:dyDescent="0.25">
      <c r="A107" s="98" t="s">
        <v>282</v>
      </c>
      <c r="B107" s="6" t="s">
        <v>282</v>
      </c>
      <c r="C107" s="115">
        <v>2017</v>
      </c>
      <c r="D107" s="115">
        <v>2016</v>
      </c>
      <c r="E107" s="119">
        <v>2015</v>
      </c>
      <c r="F107" s="119"/>
      <c r="G107" s="119">
        <v>2017</v>
      </c>
      <c r="H107" s="119">
        <v>2016</v>
      </c>
      <c r="I107" s="119">
        <v>2015</v>
      </c>
      <c r="J107" s="4"/>
      <c r="K107" s="4"/>
      <c r="L107" s="4"/>
      <c r="M107" s="4"/>
      <c r="N107" s="4"/>
      <c r="O107" s="4"/>
      <c r="P107" s="4"/>
      <c r="Q107" s="4"/>
    </row>
    <row r="108" spans="1:17" x14ac:dyDescent="0.25">
      <c r="A108" s="98" t="s">
        <v>737</v>
      </c>
      <c r="B108" s="6" t="s">
        <v>282</v>
      </c>
      <c r="C108" s="174">
        <v>4.1200000000000001E-2</v>
      </c>
      <c r="D108" s="174">
        <v>4.4699999999999997E-2</v>
      </c>
      <c r="E108" s="175">
        <v>4.07E-2</v>
      </c>
      <c r="F108" s="175"/>
      <c r="G108" s="175">
        <v>2.7000000000000003E-2</v>
      </c>
      <c r="H108" s="175">
        <v>3.95E-2</v>
      </c>
      <c r="I108" s="175">
        <v>3.7999999999999999E-2</v>
      </c>
      <c r="J108" s="4"/>
      <c r="K108" s="4"/>
      <c r="L108" s="4"/>
      <c r="M108" s="4"/>
      <c r="N108" s="4"/>
      <c r="O108" s="4"/>
      <c r="P108" s="4"/>
      <c r="Q108" s="4"/>
    </row>
    <row r="109" spans="1:17" x14ac:dyDescent="0.25">
      <c r="A109" s="98" t="s">
        <v>727</v>
      </c>
      <c r="B109" s="6" t="s">
        <v>282</v>
      </c>
      <c r="C109" s="174">
        <v>7.2499999999999995E-2</v>
      </c>
      <c r="D109" s="174">
        <v>7.4999999999999997E-2</v>
      </c>
      <c r="E109" s="175">
        <v>7.4999999999999997E-2</v>
      </c>
      <c r="F109" s="175"/>
      <c r="G109" s="175">
        <v>4.4999999999999998E-2</v>
      </c>
      <c r="H109" s="175">
        <v>4.7E-2</v>
      </c>
      <c r="I109" s="175">
        <v>5.7999999999999996E-2</v>
      </c>
      <c r="J109" s="4"/>
      <c r="K109" s="4"/>
      <c r="L109" s="4"/>
      <c r="M109" s="4"/>
      <c r="N109" s="4"/>
      <c r="O109" s="4"/>
      <c r="P109" s="4"/>
      <c r="Q109" s="4"/>
    </row>
    <row r="110" spans="1:17" x14ac:dyDescent="0.25">
      <c r="A110" s="98" t="s">
        <v>738</v>
      </c>
      <c r="B110" s="6" t="s">
        <v>282</v>
      </c>
      <c r="C110" s="174">
        <v>4.87E-2</v>
      </c>
      <c r="D110" s="174">
        <v>4.87E-2</v>
      </c>
      <c r="E110" s="175">
        <v>4.8799999999999996E-2</v>
      </c>
      <c r="F110" s="175"/>
      <c r="G110" s="175">
        <v>3.7499999999999999E-2</v>
      </c>
      <c r="H110" s="175">
        <v>3.7499999999999999E-2</v>
      </c>
      <c r="I110" s="175">
        <v>4.2500000000000003E-2</v>
      </c>
      <c r="J110" s="4"/>
      <c r="K110" s="4"/>
      <c r="L110" s="4"/>
      <c r="M110" s="4"/>
      <c r="N110" s="4"/>
      <c r="O110" s="4"/>
      <c r="P110" s="4"/>
      <c r="Q110" s="4"/>
    </row>
    <row r="111" spans="1:17" x14ac:dyDescent="0.25">
      <c r="A111" s="98"/>
      <c r="B111" s="6"/>
      <c r="C111" s="6"/>
      <c r="D111" s="6"/>
      <c r="E111" s="6"/>
      <c r="F111" s="6"/>
      <c r="G111" s="6"/>
      <c r="H111" s="6"/>
      <c r="I111" s="4"/>
      <c r="J111" s="4"/>
      <c r="K111" s="4"/>
      <c r="L111" s="4"/>
      <c r="M111" s="4"/>
      <c r="N111" s="4"/>
      <c r="O111" s="4"/>
      <c r="P111" s="4"/>
      <c r="Q111" s="4"/>
    </row>
    <row r="112" spans="1:17" x14ac:dyDescent="0.25">
      <c r="A112" s="98"/>
      <c r="B112" s="6"/>
      <c r="C112" s="6"/>
      <c r="D112" s="6"/>
      <c r="E112" s="6"/>
      <c r="F112" s="6"/>
      <c r="G112" s="6"/>
      <c r="H112" s="6"/>
      <c r="I112" s="4"/>
      <c r="J112" s="4"/>
      <c r="K112" s="4"/>
      <c r="L112" s="4"/>
      <c r="M112" s="4"/>
      <c r="N112" s="4"/>
      <c r="O112" s="4"/>
      <c r="P112" s="4"/>
      <c r="Q112" s="4"/>
    </row>
    <row r="113" spans="1:17" x14ac:dyDescent="0.25">
      <c r="A113" s="4" t="s">
        <v>757</v>
      </c>
      <c r="B113" s="4"/>
      <c r="C113" s="4"/>
      <c r="D113" s="4"/>
      <c r="E113" s="4"/>
      <c r="F113" s="4"/>
      <c r="G113" s="4"/>
      <c r="H113" s="4"/>
      <c r="I113" s="4"/>
      <c r="J113" s="4"/>
      <c r="K113" s="4"/>
      <c r="L113" s="4"/>
      <c r="M113" s="4"/>
      <c r="N113" s="4"/>
      <c r="O113" s="4"/>
      <c r="P113" s="4"/>
      <c r="Q113" s="4"/>
    </row>
    <row r="114" spans="1:17" x14ac:dyDescent="0.25">
      <c r="A114" s="6" t="s">
        <v>405</v>
      </c>
      <c r="B114" s="4"/>
      <c r="C114" s="4"/>
      <c r="D114" s="4"/>
      <c r="E114" s="4"/>
      <c r="F114" s="4"/>
      <c r="G114" s="4"/>
      <c r="H114" s="4"/>
      <c r="I114" s="4"/>
      <c r="J114" s="4"/>
      <c r="K114" s="4"/>
      <c r="L114" s="4"/>
      <c r="M114" s="4"/>
      <c r="N114" s="4"/>
      <c r="O114" s="4"/>
      <c r="P114" s="4"/>
      <c r="Q114" s="4"/>
    </row>
    <row r="115" spans="1:17" x14ac:dyDescent="0.25">
      <c r="A115" s="4" t="s">
        <v>744</v>
      </c>
      <c r="B115" s="4"/>
      <c r="C115" s="4" t="s">
        <v>753</v>
      </c>
      <c r="D115" s="4"/>
      <c r="E115" s="4"/>
      <c r="F115" s="119" t="s">
        <v>760</v>
      </c>
      <c r="G115" s="119" t="s">
        <v>758</v>
      </c>
      <c r="H115" s="119" t="s">
        <v>759</v>
      </c>
      <c r="I115" s="4"/>
      <c r="J115" s="4"/>
      <c r="K115" s="4"/>
      <c r="L115" s="4"/>
      <c r="M115" s="4"/>
      <c r="N115" s="4"/>
      <c r="O115" s="4"/>
      <c r="P115" s="4"/>
      <c r="Q115" s="4"/>
    </row>
    <row r="116" spans="1:17" x14ac:dyDescent="0.25">
      <c r="A116" s="4" t="s">
        <v>748</v>
      </c>
      <c r="B116" s="4"/>
      <c r="C116" s="173">
        <v>0.2</v>
      </c>
      <c r="D116" s="4"/>
      <c r="E116" s="4"/>
      <c r="F116" s="4"/>
      <c r="G116" s="4"/>
      <c r="H116" s="4"/>
      <c r="I116" s="4"/>
      <c r="J116" s="4"/>
      <c r="K116" s="4"/>
      <c r="L116" s="4"/>
      <c r="M116" s="4"/>
      <c r="N116" s="4"/>
      <c r="O116" s="4"/>
      <c r="P116" s="4"/>
      <c r="Q116" s="4"/>
    </row>
    <row r="117" spans="1:17" x14ac:dyDescent="0.25">
      <c r="A117" s="141" t="s">
        <v>745</v>
      </c>
      <c r="B117" s="4"/>
      <c r="C117" s="173">
        <v>0.1</v>
      </c>
      <c r="D117" s="4"/>
      <c r="E117" s="4"/>
      <c r="F117" s="4"/>
      <c r="G117" s="4">
        <v>2</v>
      </c>
      <c r="H117" s="4">
        <v>8</v>
      </c>
      <c r="I117" s="4"/>
      <c r="J117" s="4"/>
      <c r="K117" s="4"/>
      <c r="L117" s="4"/>
      <c r="M117" s="4"/>
      <c r="N117" s="4"/>
      <c r="O117" s="4"/>
      <c r="P117" s="4"/>
      <c r="Q117" s="4"/>
    </row>
    <row r="118" spans="1:17" x14ac:dyDescent="0.25">
      <c r="A118" s="141" t="s">
        <v>746</v>
      </c>
      <c r="B118" s="4"/>
      <c r="C118" s="173">
        <v>0.02</v>
      </c>
      <c r="D118" s="4"/>
      <c r="E118" s="4"/>
      <c r="F118" s="4"/>
      <c r="G118" s="4">
        <v>3</v>
      </c>
      <c r="H118" s="4">
        <v>2</v>
      </c>
      <c r="I118" s="4"/>
      <c r="J118" s="4"/>
      <c r="K118" s="4"/>
      <c r="L118" s="4"/>
      <c r="M118" s="4"/>
      <c r="N118" s="4"/>
      <c r="O118" s="4"/>
      <c r="P118" s="4"/>
      <c r="Q118" s="4"/>
    </row>
    <row r="119" spans="1:17" x14ac:dyDescent="0.25">
      <c r="A119" s="141" t="s">
        <v>747</v>
      </c>
      <c r="B119" s="4"/>
      <c r="C119" s="173">
        <v>0.08</v>
      </c>
      <c r="D119" s="4"/>
      <c r="E119" s="4"/>
      <c r="F119" s="4"/>
      <c r="G119" s="4">
        <v>1</v>
      </c>
      <c r="H119" s="4">
        <v>5</v>
      </c>
      <c r="I119" s="4"/>
      <c r="J119" s="4"/>
      <c r="K119" s="4"/>
      <c r="L119" s="4"/>
      <c r="M119" s="4"/>
      <c r="N119" s="4"/>
      <c r="O119" s="4"/>
      <c r="P119" s="4"/>
      <c r="Q119" s="4"/>
    </row>
    <row r="120" spans="1:17" x14ac:dyDescent="0.25">
      <c r="A120" s="4" t="s">
        <v>749</v>
      </c>
      <c r="B120" s="4"/>
      <c r="C120" s="173">
        <v>0.06</v>
      </c>
      <c r="D120" s="4"/>
      <c r="E120" s="4"/>
      <c r="F120" s="4"/>
      <c r="G120" s="4">
        <v>4</v>
      </c>
      <c r="H120" s="4">
        <v>6</v>
      </c>
      <c r="I120" s="4"/>
      <c r="J120" s="4"/>
      <c r="K120" s="4"/>
      <c r="L120" s="4"/>
      <c r="M120" s="4"/>
      <c r="N120" s="4"/>
      <c r="O120" s="4"/>
      <c r="P120" s="4"/>
      <c r="Q120" s="4"/>
    </row>
    <row r="121" spans="1:17" x14ac:dyDescent="0.25">
      <c r="A121" s="4" t="s">
        <v>750</v>
      </c>
      <c r="B121" s="4"/>
      <c r="C121" s="173">
        <v>0.04</v>
      </c>
      <c r="D121" s="4"/>
      <c r="E121" s="4"/>
      <c r="F121" s="4"/>
      <c r="G121" s="4">
        <v>6</v>
      </c>
      <c r="H121" s="4">
        <v>4</v>
      </c>
      <c r="I121" s="4"/>
      <c r="J121" s="4"/>
      <c r="K121" s="4"/>
      <c r="L121" s="4"/>
      <c r="M121" s="4"/>
      <c r="N121" s="4"/>
      <c r="O121" s="4"/>
      <c r="P121" s="4"/>
      <c r="Q121" s="4"/>
    </row>
    <row r="122" spans="1:17" x14ac:dyDescent="0.25">
      <c r="A122" s="4" t="s">
        <v>751</v>
      </c>
      <c r="B122" s="4"/>
      <c r="C122" s="173">
        <v>0.02</v>
      </c>
      <c r="D122" s="4"/>
      <c r="E122" s="4"/>
      <c r="F122" s="4"/>
      <c r="G122" s="4">
        <v>8</v>
      </c>
      <c r="H122" s="4">
        <v>2</v>
      </c>
      <c r="I122" s="4"/>
      <c r="J122" s="4"/>
      <c r="K122" s="4"/>
      <c r="L122" s="4"/>
      <c r="M122" s="4"/>
      <c r="N122" s="4"/>
      <c r="O122" s="4"/>
      <c r="P122" s="4"/>
      <c r="Q122" s="4"/>
    </row>
    <row r="123" spans="1:17" x14ac:dyDescent="0.25">
      <c r="A123" s="4" t="s">
        <v>752</v>
      </c>
      <c r="B123" s="4"/>
      <c r="C123" s="173">
        <v>0.68</v>
      </c>
      <c r="D123" s="4"/>
      <c r="E123" s="4"/>
      <c r="F123" s="4"/>
      <c r="G123" s="4">
        <v>0</v>
      </c>
      <c r="H123" s="4">
        <v>5</v>
      </c>
      <c r="I123" s="4"/>
      <c r="J123" s="4"/>
      <c r="K123" s="4"/>
      <c r="L123" s="4"/>
      <c r="M123" s="4"/>
      <c r="N123" s="4"/>
      <c r="O123" s="4"/>
      <c r="P123" s="4"/>
      <c r="Q123" s="4"/>
    </row>
    <row r="124" spans="1:17" x14ac:dyDescent="0.25">
      <c r="A124" s="4" t="s">
        <v>15</v>
      </c>
      <c r="B124" s="4"/>
      <c r="C124" s="4">
        <v>1</v>
      </c>
      <c r="D124" s="4"/>
      <c r="E124" s="4"/>
      <c r="F124" s="4"/>
      <c r="G124" s="4"/>
      <c r="H124" s="4"/>
      <c r="I124" s="4"/>
      <c r="J124" s="4"/>
      <c r="K124" s="4"/>
      <c r="L124" s="4"/>
      <c r="M124" s="4"/>
      <c r="N124" s="4"/>
      <c r="O124" s="4"/>
      <c r="P124" s="4"/>
      <c r="Q124" s="4"/>
    </row>
    <row r="125" spans="1:17" x14ac:dyDescent="0.25">
      <c r="A125" s="4"/>
      <c r="B125" s="4"/>
      <c r="C125" s="4"/>
      <c r="D125" s="4"/>
      <c r="E125" s="4" t="s">
        <v>282</v>
      </c>
      <c r="F125" s="4"/>
      <c r="G125" s="4"/>
      <c r="H125" s="4"/>
      <c r="I125" s="4"/>
      <c r="J125" s="4"/>
      <c r="K125" s="4"/>
      <c r="L125" s="4"/>
      <c r="M125" s="4"/>
      <c r="N125" s="4"/>
      <c r="O125" s="4"/>
      <c r="P125" s="4"/>
      <c r="Q125" s="4"/>
    </row>
    <row r="126" spans="1:17" x14ac:dyDescent="0.25">
      <c r="A126" s="4" t="s">
        <v>744</v>
      </c>
      <c r="B126" s="4"/>
      <c r="C126" s="4" t="s">
        <v>753</v>
      </c>
      <c r="D126" s="4"/>
      <c r="E126" s="4"/>
      <c r="F126" s="4"/>
      <c r="G126" s="4"/>
      <c r="H126" s="4"/>
      <c r="I126" s="4"/>
      <c r="J126" s="4"/>
      <c r="K126" s="4"/>
      <c r="L126" s="4"/>
      <c r="M126" s="4"/>
      <c r="N126" s="4"/>
      <c r="O126" s="4"/>
      <c r="P126" s="4"/>
      <c r="Q126" s="4"/>
    </row>
    <row r="127" spans="1:17" x14ac:dyDescent="0.25">
      <c r="A127" s="4" t="s">
        <v>747</v>
      </c>
      <c r="B127" s="4"/>
      <c r="C127" s="173">
        <v>0.23</v>
      </c>
      <c r="D127" s="4"/>
      <c r="E127" s="4"/>
      <c r="F127" s="4"/>
      <c r="G127" s="4"/>
      <c r="H127" s="4"/>
      <c r="I127" s="4"/>
      <c r="J127" s="4"/>
      <c r="K127" s="4"/>
      <c r="L127" s="4"/>
      <c r="M127" s="4"/>
      <c r="N127" s="4"/>
      <c r="O127" s="4"/>
      <c r="P127" s="4"/>
      <c r="Q127" s="4"/>
    </row>
    <row r="128" spans="1:17" x14ac:dyDescent="0.25">
      <c r="A128" s="4" t="s">
        <v>754</v>
      </c>
      <c r="B128" s="4"/>
      <c r="C128" s="173">
        <v>0.05</v>
      </c>
      <c r="D128" s="4"/>
      <c r="E128" s="4"/>
      <c r="F128" s="4"/>
      <c r="G128" s="4"/>
      <c r="H128" s="4"/>
      <c r="I128" s="4"/>
      <c r="J128" s="4"/>
      <c r="K128" s="4"/>
      <c r="L128" s="4"/>
      <c r="M128" s="4"/>
      <c r="N128" s="4"/>
      <c r="O128" s="4"/>
      <c r="P128" s="4"/>
      <c r="Q128" s="4"/>
    </row>
    <row r="129" spans="1:17" x14ac:dyDescent="0.25">
      <c r="A129" s="4" t="s">
        <v>755</v>
      </c>
      <c r="B129" s="4"/>
      <c r="C129" s="173">
        <v>0.08</v>
      </c>
      <c r="D129" s="4"/>
      <c r="E129" s="4"/>
      <c r="F129" s="4"/>
      <c r="G129" s="4"/>
      <c r="H129" s="4"/>
      <c r="I129" s="4"/>
      <c r="J129" s="4"/>
      <c r="K129" s="4"/>
      <c r="L129" s="4"/>
      <c r="M129" s="4"/>
      <c r="N129" s="4"/>
      <c r="O129" s="4"/>
      <c r="P129" s="4"/>
      <c r="Q129" s="4"/>
    </row>
    <row r="130" spans="1:17" x14ac:dyDescent="0.25">
      <c r="A130" s="4" t="s">
        <v>756</v>
      </c>
      <c r="B130" s="4"/>
      <c r="C130" s="173">
        <v>7.4999999999999997E-2</v>
      </c>
      <c r="D130" s="4"/>
      <c r="E130" s="4"/>
      <c r="F130" s="4"/>
      <c r="G130" s="4"/>
      <c r="H130" s="4"/>
      <c r="I130" s="4"/>
      <c r="J130" s="4"/>
      <c r="K130" s="4"/>
      <c r="L130" s="4"/>
      <c r="M130" s="4"/>
      <c r="N130" s="4"/>
      <c r="O130" s="4"/>
      <c r="P130" s="4"/>
      <c r="Q130" s="4"/>
    </row>
    <row r="131" spans="1:17" x14ac:dyDescent="0.25">
      <c r="A131" s="4" t="s">
        <v>752</v>
      </c>
      <c r="B131" s="4"/>
      <c r="C131" s="173">
        <v>0.56499999999999995</v>
      </c>
      <c r="D131" s="4"/>
      <c r="E131" s="4"/>
      <c r="F131" s="4"/>
      <c r="G131" s="4"/>
      <c r="H131" s="4"/>
      <c r="I131" s="4"/>
      <c r="J131" s="4"/>
      <c r="K131" s="4"/>
      <c r="L131" s="4"/>
      <c r="M131" s="4"/>
      <c r="N131" s="4"/>
      <c r="O131" s="4"/>
      <c r="P131" s="4"/>
      <c r="Q131" s="4"/>
    </row>
    <row r="132" spans="1:17" x14ac:dyDescent="0.25">
      <c r="A132" s="4" t="s">
        <v>15</v>
      </c>
      <c r="B132" s="4"/>
      <c r="C132" s="173">
        <v>1</v>
      </c>
      <c r="D132" s="4"/>
      <c r="E132" s="4"/>
      <c r="F132" s="4"/>
      <c r="G132" s="4"/>
      <c r="H132" s="4"/>
      <c r="I132" s="4"/>
      <c r="J132" s="4"/>
      <c r="K132" s="4"/>
      <c r="L132" s="4"/>
      <c r="M132" s="4"/>
      <c r="N132" s="4"/>
      <c r="O132" s="4"/>
      <c r="P132" s="4"/>
      <c r="Q132" s="4"/>
    </row>
    <row r="133" spans="1:17" x14ac:dyDescent="0.25">
      <c r="A133" s="98"/>
      <c r="B133" s="6"/>
      <c r="C133" s="6"/>
      <c r="D133" s="6"/>
      <c r="E133" s="6"/>
      <c r="F133" s="6"/>
      <c r="G133" s="6"/>
      <c r="H133" s="6"/>
      <c r="I133" s="4"/>
      <c r="J133" s="4"/>
      <c r="K133" s="4"/>
      <c r="L133" s="4"/>
      <c r="M133" s="4"/>
      <c r="N133" s="4"/>
      <c r="O133" s="4"/>
      <c r="P133" s="4"/>
      <c r="Q133" s="4"/>
    </row>
    <row r="134" spans="1:17" x14ac:dyDescent="0.25">
      <c r="A134" s="99" t="s">
        <v>768</v>
      </c>
      <c r="B134" s="6"/>
      <c r="C134" s="6"/>
      <c r="D134" s="6"/>
      <c r="E134" s="6"/>
      <c r="F134" s="6"/>
      <c r="G134" s="6"/>
      <c r="H134" s="6"/>
      <c r="I134" s="4"/>
      <c r="J134" s="4"/>
      <c r="K134" s="4"/>
      <c r="L134" s="4"/>
      <c r="M134" s="4"/>
      <c r="N134" s="4"/>
      <c r="O134" s="4"/>
      <c r="P134" s="4"/>
      <c r="Q134" s="4"/>
    </row>
    <row r="135" spans="1:17" x14ac:dyDescent="0.25">
      <c r="A135" s="98" t="s">
        <v>295</v>
      </c>
      <c r="B135" s="6">
        <v>2017</v>
      </c>
      <c r="C135" s="6">
        <v>2016</v>
      </c>
      <c r="D135" s="6">
        <v>2015</v>
      </c>
      <c r="E135" s="6">
        <v>2014</v>
      </c>
      <c r="F135" s="6"/>
      <c r="G135" s="6"/>
      <c r="H135" s="6"/>
      <c r="I135" s="4"/>
      <c r="J135" s="4"/>
      <c r="K135" s="4"/>
      <c r="L135" s="4"/>
      <c r="M135" s="4"/>
      <c r="N135" s="4"/>
      <c r="O135" s="4"/>
      <c r="P135" s="4"/>
      <c r="Q135" s="4"/>
    </row>
    <row r="136" spans="1:17" x14ac:dyDescent="0.25">
      <c r="A136" s="148" t="s">
        <v>657</v>
      </c>
      <c r="B136" s="6" t="s">
        <v>282</v>
      </c>
      <c r="C136" s="6" t="s">
        <v>282</v>
      </c>
      <c r="D136" s="6" t="s">
        <v>282</v>
      </c>
      <c r="E136" s="6" t="s">
        <v>282</v>
      </c>
      <c r="F136" s="6"/>
      <c r="G136" s="6"/>
      <c r="H136" s="6"/>
      <c r="I136" s="4"/>
      <c r="J136" s="4"/>
      <c r="K136" s="4"/>
      <c r="L136" s="4"/>
      <c r="M136" s="4"/>
      <c r="N136" s="4"/>
      <c r="O136" s="4"/>
      <c r="P136" s="4"/>
      <c r="Q136" s="4"/>
    </row>
    <row r="137" spans="1:17" x14ac:dyDescent="0.25">
      <c r="A137" s="169" t="s">
        <v>772</v>
      </c>
      <c r="B137" s="6">
        <v>364</v>
      </c>
      <c r="C137" s="6">
        <v>385</v>
      </c>
      <c r="D137" s="6">
        <v>408</v>
      </c>
      <c r="E137" s="6">
        <v>398</v>
      </c>
      <c r="F137" s="6"/>
      <c r="G137" s="6"/>
      <c r="H137" s="6"/>
      <c r="I137" s="4"/>
      <c r="J137" s="4"/>
      <c r="K137" s="4"/>
      <c r="L137" s="4"/>
      <c r="M137" s="4"/>
      <c r="N137" s="4"/>
      <c r="O137" s="4"/>
      <c r="P137" s="4"/>
      <c r="Q137" s="4"/>
    </row>
    <row r="138" spans="1:17" x14ac:dyDescent="0.25">
      <c r="A138" s="169" t="s">
        <v>660</v>
      </c>
      <c r="B138" s="6">
        <v>14</v>
      </c>
      <c r="C138" s="6">
        <v>16</v>
      </c>
      <c r="D138" s="6">
        <v>15</v>
      </c>
      <c r="E138" s="6">
        <v>17</v>
      </c>
      <c r="F138" s="6"/>
      <c r="G138" s="6"/>
      <c r="H138" s="6"/>
      <c r="I138" s="4"/>
      <c r="J138" s="4"/>
      <c r="K138" s="4"/>
      <c r="L138" s="4"/>
      <c r="M138" s="4"/>
      <c r="N138" s="4"/>
      <c r="O138" s="4"/>
      <c r="P138" s="4"/>
      <c r="Q138" s="4"/>
    </row>
    <row r="139" spans="1:17" x14ac:dyDescent="0.25">
      <c r="A139" s="169" t="s">
        <v>769</v>
      </c>
      <c r="B139" s="6">
        <v>24</v>
      </c>
      <c r="C139" s="6">
        <v>14</v>
      </c>
      <c r="D139" s="6">
        <v>10</v>
      </c>
      <c r="E139" s="6">
        <v>10</v>
      </c>
      <c r="F139" s="6"/>
      <c r="G139" s="6"/>
      <c r="H139" s="6"/>
      <c r="I139" s="4"/>
      <c r="J139" s="4"/>
      <c r="K139" s="4"/>
      <c r="L139" s="4"/>
      <c r="M139" s="4"/>
      <c r="N139" s="4"/>
      <c r="O139" s="4"/>
      <c r="P139" s="4"/>
      <c r="Q139" s="4"/>
    </row>
    <row r="140" spans="1:17" x14ac:dyDescent="0.25">
      <c r="A140" s="169" t="s">
        <v>770</v>
      </c>
      <c r="B140" s="6">
        <v>-35</v>
      </c>
      <c r="C140" s="6">
        <v>9</v>
      </c>
      <c r="D140" s="6">
        <v>5</v>
      </c>
      <c r="E140" s="6">
        <v>38</v>
      </c>
      <c r="F140" s="6"/>
      <c r="G140" s="6"/>
      <c r="H140" s="6"/>
      <c r="I140" s="4"/>
      <c r="J140" s="4"/>
      <c r="K140" s="4"/>
      <c r="L140" s="4"/>
      <c r="M140" s="4"/>
      <c r="N140" s="4"/>
      <c r="O140" s="4"/>
      <c r="P140" s="4"/>
      <c r="Q140" s="4"/>
    </row>
    <row r="141" spans="1:17" x14ac:dyDescent="0.25">
      <c r="A141" s="169" t="s">
        <v>663</v>
      </c>
      <c r="B141" s="6">
        <v>-49</v>
      </c>
      <c r="C141" s="6">
        <v>-60</v>
      </c>
      <c r="D141" s="6">
        <v>-53</v>
      </c>
      <c r="E141" s="6">
        <v>-55</v>
      </c>
      <c r="F141" s="6"/>
      <c r="G141" s="6"/>
      <c r="H141" s="6"/>
      <c r="I141" s="4"/>
      <c r="J141" s="4"/>
      <c r="K141" s="4"/>
      <c r="L141" s="4"/>
      <c r="M141" s="4"/>
      <c r="N141" s="4"/>
      <c r="O141" s="4"/>
      <c r="P141" s="4"/>
      <c r="Q141" s="4"/>
    </row>
    <row r="142" spans="1:17" x14ac:dyDescent="0.25">
      <c r="A142" s="148" t="s">
        <v>666</v>
      </c>
      <c r="B142" s="6">
        <v>318</v>
      </c>
      <c r="C142" s="6">
        <v>364</v>
      </c>
      <c r="D142" s="6">
        <v>385</v>
      </c>
      <c r="E142" s="6">
        <v>408</v>
      </c>
      <c r="F142" s="6"/>
      <c r="G142" s="6"/>
      <c r="H142" s="6"/>
      <c r="I142" s="4"/>
      <c r="J142" s="4"/>
      <c r="K142" s="4"/>
      <c r="L142" s="4"/>
      <c r="M142" s="4"/>
      <c r="N142" s="4"/>
      <c r="O142" s="4"/>
      <c r="P142" s="4"/>
      <c r="Q142" s="4"/>
    </row>
    <row r="143" spans="1:17" x14ac:dyDescent="0.25">
      <c r="A143" s="98" t="s">
        <v>282</v>
      </c>
      <c r="B143" s="6" t="s">
        <v>282</v>
      </c>
      <c r="C143" s="6" t="s">
        <v>282</v>
      </c>
      <c r="D143" s="6" t="s">
        <v>282</v>
      </c>
      <c r="E143" s="6" t="s">
        <v>282</v>
      </c>
      <c r="F143" s="6"/>
      <c r="G143" s="6"/>
      <c r="H143" s="6"/>
      <c r="I143" s="4"/>
      <c r="J143" s="4"/>
      <c r="K143" s="4"/>
      <c r="L143" s="4"/>
      <c r="M143" s="4"/>
      <c r="N143" s="4"/>
      <c r="O143" s="4"/>
      <c r="P143" s="4"/>
      <c r="Q143" s="4"/>
    </row>
    <row r="144" spans="1:17" x14ac:dyDescent="0.25">
      <c r="A144" s="98" t="s">
        <v>771</v>
      </c>
      <c r="B144" s="6">
        <v>-318</v>
      </c>
      <c r="C144" s="6">
        <v>-364</v>
      </c>
      <c r="D144" s="6">
        <v>-385</v>
      </c>
      <c r="E144" s="6">
        <v>-408</v>
      </c>
      <c r="F144" s="6"/>
      <c r="G144" s="6"/>
      <c r="H144" s="6"/>
      <c r="I144" s="4"/>
      <c r="J144" s="4"/>
      <c r="K144" s="4"/>
      <c r="L144" s="4"/>
      <c r="M144" s="4"/>
      <c r="N144" s="4"/>
      <c r="O144" s="4"/>
      <c r="P144" s="4"/>
      <c r="Q144" s="4"/>
    </row>
    <row r="145" spans="1:17" x14ac:dyDescent="0.25">
      <c r="A145" s="98" t="s">
        <v>282</v>
      </c>
      <c r="B145" s="6"/>
      <c r="C145" s="6"/>
      <c r="D145" s="6"/>
      <c r="E145" s="6"/>
      <c r="F145" s="6"/>
      <c r="G145" s="6"/>
      <c r="H145" s="6"/>
      <c r="I145" s="4"/>
      <c r="J145" s="4"/>
      <c r="K145" s="4"/>
      <c r="L145" s="4"/>
      <c r="M145" s="4"/>
      <c r="N145" s="4"/>
      <c r="O145" s="4"/>
      <c r="P145" s="4"/>
      <c r="Q145" s="4"/>
    </row>
    <row r="149" spans="1:17" x14ac:dyDescent="0.25">
      <c r="A149" s="4" t="s">
        <v>763</v>
      </c>
      <c r="B149" s="4"/>
      <c r="C149" s="4"/>
      <c r="D149" s="4"/>
      <c r="E149" s="4"/>
      <c r="F149" s="4"/>
      <c r="G149" s="4"/>
    </row>
    <row r="150" spans="1:17" x14ac:dyDescent="0.25">
      <c r="A150" s="98" t="s">
        <v>282</v>
      </c>
      <c r="B150" s="6" t="s">
        <v>656</v>
      </c>
      <c r="C150" s="6"/>
      <c r="D150" s="6"/>
      <c r="E150" s="6"/>
      <c r="F150" s="6"/>
      <c r="G150" s="6"/>
    </row>
    <row r="151" spans="1:17" x14ac:dyDescent="0.25">
      <c r="A151" s="98" t="s">
        <v>295</v>
      </c>
      <c r="B151" s="6">
        <v>2018</v>
      </c>
      <c r="C151" s="6">
        <v>2019</v>
      </c>
      <c r="D151" s="6">
        <v>2020</v>
      </c>
      <c r="E151" s="6">
        <v>2021</v>
      </c>
      <c r="F151" s="6">
        <v>2022</v>
      </c>
      <c r="G151" s="6" t="s">
        <v>762</v>
      </c>
    </row>
    <row r="152" spans="1:17" x14ac:dyDescent="0.25">
      <c r="A152" s="98" t="s">
        <v>761</v>
      </c>
      <c r="B152" s="6">
        <v>239</v>
      </c>
      <c r="C152" s="6">
        <v>237</v>
      </c>
      <c r="D152" s="6">
        <v>242</v>
      </c>
      <c r="E152" s="6">
        <v>248</v>
      </c>
      <c r="F152" s="6">
        <v>253</v>
      </c>
      <c r="G152" s="6">
        <v>1320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1A9ADC-C450-41C5-AF99-EFD2CF72F61C}">
  <sheetPr codeName="Sheet23">
    <tabColor theme="8" tint="0.39997558519241921"/>
  </sheetPr>
  <dimension ref="B1:F8"/>
  <sheetViews>
    <sheetView workbookViewId="0"/>
  </sheetViews>
  <sheetFormatPr defaultRowHeight="15" x14ac:dyDescent="0.25"/>
  <cols>
    <col min="2" max="2" width="32.42578125" bestFit="1" customWidth="1"/>
  </cols>
  <sheetData>
    <row r="1" spans="2:6" x14ac:dyDescent="0.25">
      <c r="B1" t="s">
        <v>295</v>
      </c>
      <c r="C1" s="128">
        <v>2017</v>
      </c>
      <c r="D1" s="128">
        <v>2016</v>
      </c>
      <c r="E1" s="128">
        <v>2015</v>
      </c>
      <c r="F1" s="128">
        <v>2014</v>
      </c>
    </row>
    <row r="2" spans="2:6" x14ac:dyDescent="0.25">
      <c r="B2" t="s">
        <v>689</v>
      </c>
      <c r="C2" s="128">
        <f>SUBTOTAL(9,C3:C8)</f>
        <v>2027</v>
      </c>
      <c r="D2" s="128">
        <f>SUBTOTAL(9,D3:D8)</f>
        <v>1289</v>
      </c>
      <c r="E2" s="128">
        <f>SUBTOTAL(9,E3:E8)</f>
        <v>1358</v>
      </c>
      <c r="F2" s="128">
        <f>SUBTOTAL(9,F3:F8)</f>
        <v>1415</v>
      </c>
    </row>
    <row r="3" spans="2:6" x14ac:dyDescent="0.25">
      <c r="B3" s="9" t="s">
        <v>831</v>
      </c>
      <c r="C3" s="128">
        <v>604</v>
      </c>
      <c r="D3" s="128">
        <v>589</v>
      </c>
      <c r="E3" s="128">
        <v>583</v>
      </c>
      <c r="F3" s="128">
        <v>513</v>
      </c>
    </row>
    <row r="4" spans="2:6" x14ac:dyDescent="0.25">
      <c r="B4" s="9" t="s">
        <v>832</v>
      </c>
      <c r="C4" s="128">
        <f>'N8 Warranties'!C18</f>
        <v>466</v>
      </c>
      <c r="D4" s="128">
        <f>'N8 Warranties'!D18</f>
        <v>336</v>
      </c>
      <c r="E4" s="128">
        <v>327</v>
      </c>
      <c r="F4" s="128">
        <v>312</v>
      </c>
    </row>
    <row r="5" spans="2:6" x14ac:dyDescent="0.25">
      <c r="B5" s="9" t="s">
        <v>833</v>
      </c>
      <c r="C5" s="128">
        <f>'N2 Income Tax'!G82</f>
        <v>391</v>
      </c>
      <c r="D5" s="128">
        <f>'N2 Income Tax'!H82</f>
        <v>76</v>
      </c>
      <c r="E5" s="128"/>
      <c r="F5" s="128"/>
    </row>
    <row r="6" spans="2:6" x14ac:dyDescent="0.25">
      <c r="B6" s="9" t="s">
        <v>834</v>
      </c>
      <c r="C6" s="128">
        <f>'N2 Income Tax'!G81</f>
        <v>281</v>
      </c>
      <c r="D6" s="128">
        <f>'N2 Income Tax'!H81</f>
        <v>0</v>
      </c>
      <c r="E6" s="128"/>
      <c r="F6" s="128"/>
    </row>
    <row r="7" spans="2:6" x14ac:dyDescent="0.25">
      <c r="B7" s="9" t="s">
        <v>835</v>
      </c>
      <c r="C7" s="128">
        <v>151</v>
      </c>
      <c r="D7" s="128">
        <v>151</v>
      </c>
      <c r="E7" s="128">
        <v>199</v>
      </c>
      <c r="F7" s="128">
        <v>215</v>
      </c>
    </row>
    <row r="8" spans="2:6" x14ac:dyDescent="0.25">
      <c r="B8" s="9" t="s">
        <v>836</v>
      </c>
      <c r="C8" s="128">
        <v>134</v>
      </c>
      <c r="D8" s="128">
        <v>137</v>
      </c>
      <c r="E8" s="128">
        <v>249</v>
      </c>
      <c r="F8" s="128">
        <v>375</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3C697-C99B-48F2-A3AD-1E11BAAC5B47}">
  <sheetPr codeName="Sheet24">
    <tabColor theme="8" tint="0.39997558519241921"/>
  </sheetPr>
  <dimension ref="B4:Q58"/>
  <sheetViews>
    <sheetView workbookViewId="0"/>
  </sheetViews>
  <sheetFormatPr defaultRowHeight="15" x14ac:dyDescent="0.25"/>
  <cols>
    <col min="2" max="2" width="33.140625" bestFit="1" customWidth="1"/>
    <col min="5" max="5" width="10.140625" customWidth="1"/>
  </cols>
  <sheetData>
    <row r="4" spans="2:11" ht="60" x14ac:dyDescent="0.25">
      <c r="B4" t="s">
        <v>295</v>
      </c>
      <c r="C4" s="221" t="s">
        <v>468</v>
      </c>
      <c r="D4" s="221" t="s">
        <v>471</v>
      </c>
      <c r="E4" s="221" t="s">
        <v>472</v>
      </c>
      <c r="F4" t="s">
        <v>282</v>
      </c>
      <c r="I4" t="s">
        <v>282</v>
      </c>
    </row>
    <row r="5" spans="2:11" x14ac:dyDescent="0.25">
      <c r="B5" t="s">
        <v>282</v>
      </c>
      <c r="F5" t="s">
        <v>282</v>
      </c>
      <c r="I5" t="s">
        <v>282</v>
      </c>
    </row>
    <row r="6" spans="2:11" x14ac:dyDescent="0.25">
      <c r="B6" t="s">
        <v>983</v>
      </c>
      <c r="C6">
        <v>222.4</v>
      </c>
      <c r="D6">
        <v>32.6</v>
      </c>
      <c r="E6">
        <v>1.5</v>
      </c>
      <c r="F6" t="s">
        <v>282</v>
      </c>
      <c r="H6" t="s">
        <v>282</v>
      </c>
      <c r="I6" t="s">
        <v>282</v>
      </c>
    </row>
    <row r="7" spans="2:11" x14ac:dyDescent="0.25">
      <c r="B7" s="9" t="s">
        <v>975</v>
      </c>
      <c r="C7">
        <v>0</v>
      </c>
      <c r="D7">
        <v>3.3</v>
      </c>
      <c r="E7">
        <v>0</v>
      </c>
      <c r="F7" t="s">
        <v>282</v>
      </c>
      <c r="H7" t="s">
        <v>282</v>
      </c>
      <c r="I7" t="s">
        <v>282</v>
      </c>
    </row>
    <row r="8" spans="2:11" x14ac:dyDescent="0.25">
      <c r="B8" s="9" t="s">
        <v>976</v>
      </c>
      <c r="C8">
        <v>0.1</v>
      </c>
      <c r="D8">
        <v>-0.3</v>
      </c>
      <c r="E8">
        <v>-0.2</v>
      </c>
      <c r="F8" t="s">
        <v>282</v>
      </c>
      <c r="H8" t="s">
        <v>282</v>
      </c>
      <c r="I8" t="s">
        <v>282</v>
      </c>
    </row>
    <row r="9" spans="2:11" x14ac:dyDescent="0.25">
      <c r="B9" s="9" t="s">
        <v>460</v>
      </c>
      <c r="C9">
        <v>-0.2</v>
      </c>
      <c r="D9">
        <v>0</v>
      </c>
      <c r="E9">
        <v>0</v>
      </c>
      <c r="F9" t="s">
        <v>282</v>
      </c>
      <c r="H9" t="s">
        <v>282</v>
      </c>
      <c r="I9" t="s">
        <v>282</v>
      </c>
    </row>
    <row r="10" spans="2:11" x14ac:dyDescent="0.25">
      <c r="B10" t="s">
        <v>985</v>
      </c>
      <c r="C10">
        <v>222.3</v>
      </c>
      <c r="D10">
        <v>35.6</v>
      </c>
      <c r="E10">
        <v>1.3</v>
      </c>
      <c r="F10" t="s">
        <v>282</v>
      </c>
      <c r="H10" t="s">
        <v>282</v>
      </c>
      <c r="I10" t="s">
        <v>282</v>
      </c>
    </row>
    <row r="11" spans="2:11" x14ac:dyDescent="0.25">
      <c r="B11" s="9" t="s">
        <v>975</v>
      </c>
      <c r="C11">
        <v>0</v>
      </c>
      <c r="D11">
        <v>4.8</v>
      </c>
      <c r="E11">
        <v>0</v>
      </c>
      <c r="F11" t="s">
        <v>282</v>
      </c>
      <c r="H11" t="s">
        <v>282</v>
      </c>
      <c r="I11" t="s">
        <v>282</v>
      </c>
    </row>
    <row r="12" spans="2:11" x14ac:dyDescent="0.25">
      <c r="B12" s="9" t="s">
        <v>976</v>
      </c>
      <c r="C12">
        <v>0.1</v>
      </c>
      <c r="D12">
        <v>-0.3</v>
      </c>
      <c r="E12">
        <v>-0.2</v>
      </c>
      <c r="F12" t="s">
        <v>282</v>
      </c>
      <c r="H12" t="s">
        <v>282</v>
      </c>
      <c r="I12" t="s">
        <v>282</v>
      </c>
    </row>
    <row r="13" spans="2:11" x14ac:dyDescent="0.25">
      <c r="B13" s="9" t="s">
        <v>460</v>
      </c>
      <c r="C13">
        <v>-0.1</v>
      </c>
      <c r="D13">
        <v>0</v>
      </c>
      <c r="E13">
        <v>0</v>
      </c>
      <c r="F13" t="s">
        <v>282</v>
      </c>
      <c r="H13" t="s">
        <v>282</v>
      </c>
      <c r="I13" t="s">
        <v>282</v>
      </c>
    </row>
    <row r="14" spans="2:11" x14ac:dyDescent="0.25">
      <c r="B14" t="s">
        <v>974</v>
      </c>
      <c r="C14">
        <v>222.3</v>
      </c>
      <c r="D14">
        <v>40.1</v>
      </c>
      <c r="E14">
        <v>1.1000000000000001</v>
      </c>
      <c r="F14" t="s">
        <v>282</v>
      </c>
      <c r="H14" t="s">
        <v>282</v>
      </c>
      <c r="I14" t="s">
        <v>282</v>
      </c>
      <c r="K14" t="s">
        <v>282</v>
      </c>
    </row>
    <row r="15" spans="2:11" x14ac:dyDescent="0.25">
      <c r="B15" s="9" t="s">
        <v>975</v>
      </c>
      <c r="C15">
        <v>0</v>
      </c>
      <c r="D15">
        <v>7.2</v>
      </c>
      <c r="E15">
        <v>0</v>
      </c>
      <c r="F15" t="s">
        <v>282</v>
      </c>
      <c r="H15" t="s">
        <v>282</v>
      </c>
      <c r="I15" t="s">
        <v>282</v>
      </c>
      <c r="K15" t="s">
        <v>282</v>
      </c>
    </row>
    <row r="16" spans="2:11" x14ac:dyDescent="0.25">
      <c r="B16" s="9" t="s">
        <v>976</v>
      </c>
      <c r="C16">
        <v>0.1</v>
      </c>
      <c r="D16">
        <v>-0.1</v>
      </c>
      <c r="E16">
        <v>-0.2</v>
      </c>
      <c r="F16" t="s">
        <v>282</v>
      </c>
      <c r="I16" t="s">
        <v>282</v>
      </c>
    </row>
    <row r="17" spans="2:17" x14ac:dyDescent="0.25">
      <c r="B17" t="s">
        <v>489</v>
      </c>
      <c r="C17">
        <v>222.4</v>
      </c>
      <c r="D17">
        <v>47.2</v>
      </c>
      <c r="E17">
        <v>0.9</v>
      </c>
      <c r="F17" t="s">
        <v>282</v>
      </c>
      <c r="H17" t="s">
        <v>282</v>
      </c>
      <c r="I17" t="s">
        <v>282</v>
      </c>
    </row>
    <row r="18" spans="2:17" x14ac:dyDescent="0.25">
      <c r="B18" s="9" t="s">
        <v>975</v>
      </c>
      <c r="C18">
        <v>0</v>
      </c>
      <c r="D18">
        <v>7.3</v>
      </c>
      <c r="E18">
        <v>0</v>
      </c>
      <c r="F18" t="s">
        <v>282</v>
      </c>
      <c r="H18" t="s">
        <v>282</v>
      </c>
      <c r="I18" t="s">
        <v>282</v>
      </c>
    </row>
    <row r="19" spans="2:17" x14ac:dyDescent="0.25">
      <c r="B19" s="9" t="s">
        <v>976</v>
      </c>
      <c r="C19">
        <v>0</v>
      </c>
      <c r="D19">
        <v>-0.3</v>
      </c>
      <c r="E19">
        <v>-0.2</v>
      </c>
      <c r="F19" t="s">
        <v>282</v>
      </c>
      <c r="I19" t="s">
        <v>282</v>
      </c>
    </row>
    <row r="20" spans="2:17" x14ac:dyDescent="0.25">
      <c r="B20" t="s">
        <v>492</v>
      </c>
      <c r="C20">
        <v>222.4</v>
      </c>
      <c r="D20">
        <v>54.2</v>
      </c>
      <c r="E20">
        <v>0.7</v>
      </c>
      <c r="F20" t="s">
        <v>282</v>
      </c>
      <c r="I20" t="s">
        <v>282</v>
      </c>
    </row>
    <row r="21" spans="2:17" x14ac:dyDescent="0.25">
      <c r="B21" s="9" t="s">
        <v>975</v>
      </c>
      <c r="C21">
        <v>0</v>
      </c>
      <c r="D21">
        <v>2.9</v>
      </c>
      <c r="E21">
        <v>0</v>
      </c>
      <c r="F21" t="s">
        <v>282</v>
      </c>
      <c r="I21" t="s">
        <v>282</v>
      </c>
    </row>
    <row r="22" spans="2:17" x14ac:dyDescent="0.25">
      <c r="B22" s="9" t="s">
        <v>976</v>
      </c>
      <c r="C22">
        <v>0</v>
      </c>
      <c r="D22">
        <v>-0.4</v>
      </c>
      <c r="E22">
        <v>-0.2</v>
      </c>
      <c r="F22" t="s">
        <v>282</v>
      </c>
      <c r="I22" t="s">
        <v>282</v>
      </c>
    </row>
    <row r="23" spans="2:17" x14ac:dyDescent="0.25">
      <c r="B23" t="s">
        <v>493</v>
      </c>
      <c r="C23">
        <v>222.4</v>
      </c>
      <c r="D23">
        <v>56.7</v>
      </c>
      <c r="E23">
        <v>0.5</v>
      </c>
      <c r="F23" t="s">
        <v>282</v>
      </c>
      <c r="H23" t="s">
        <v>282</v>
      </c>
      <c r="I23" t="s">
        <v>282</v>
      </c>
      <c r="K23" t="s">
        <v>282</v>
      </c>
    </row>
    <row r="26" spans="2:17" x14ac:dyDescent="0.25">
      <c r="B26" t="s">
        <v>299</v>
      </c>
      <c r="C26" t="s">
        <v>282</v>
      </c>
      <c r="D26" t="s">
        <v>977</v>
      </c>
      <c r="F26" t="s">
        <v>282</v>
      </c>
      <c r="G26" t="s">
        <v>392</v>
      </c>
      <c r="J26" t="s">
        <v>282</v>
      </c>
      <c r="K26" t="s">
        <v>394</v>
      </c>
      <c r="N26" t="s">
        <v>282</v>
      </c>
      <c r="O26" t="s">
        <v>396</v>
      </c>
    </row>
    <row r="27" spans="2:17" x14ac:dyDescent="0.25">
      <c r="B27" t="s">
        <v>387</v>
      </c>
      <c r="C27" t="s">
        <v>282</v>
      </c>
      <c r="D27" t="s">
        <v>282</v>
      </c>
      <c r="E27" t="s">
        <v>282</v>
      </c>
      <c r="F27" t="s">
        <v>282</v>
      </c>
      <c r="G27" t="s">
        <v>393</v>
      </c>
      <c r="J27" t="s">
        <v>282</v>
      </c>
      <c r="K27" t="s">
        <v>395</v>
      </c>
      <c r="N27" t="s">
        <v>282</v>
      </c>
      <c r="O27" t="s">
        <v>397</v>
      </c>
    </row>
    <row r="28" spans="2:17" x14ac:dyDescent="0.25">
      <c r="B28" t="s">
        <v>282</v>
      </c>
      <c r="C28" t="s">
        <v>282</v>
      </c>
      <c r="D28" t="s">
        <v>282</v>
      </c>
      <c r="E28" t="s">
        <v>282</v>
      </c>
      <c r="F28" t="s">
        <v>282</v>
      </c>
      <c r="G28" t="s">
        <v>282</v>
      </c>
      <c r="H28" t="s">
        <v>282</v>
      </c>
      <c r="I28" t="s">
        <v>282</v>
      </c>
      <c r="J28" t="s">
        <v>282</v>
      </c>
      <c r="K28" t="s">
        <v>282</v>
      </c>
      <c r="L28" t="s">
        <v>282</v>
      </c>
      <c r="M28" t="s">
        <v>282</v>
      </c>
      <c r="N28" t="s">
        <v>282</v>
      </c>
      <c r="O28" t="s">
        <v>398</v>
      </c>
    </row>
    <row r="29" spans="2:17" x14ac:dyDescent="0.25">
      <c r="B29" t="s">
        <v>388</v>
      </c>
      <c r="C29" t="s">
        <v>282</v>
      </c>
      <c r="D29">
        <v>0.3</v>
      </c>
      <c r="E29" t="s">
        <v>282</v>
      </c>
      <c r="F29" t="s">
        <v>282</v>
      </c>
      <c r="G29">
        <v>151.32</v>
      </c>
      <c r="I29" t="s">
        <v>282</v>
      </c>
      <c r="J29" t="s">
        <v>282</v>
      </c>
      <c r="K29">
        <v>51</v>
      </c>
      <c r="M29" t="s">
        <v>282</v>
      </c>
      <c r="N29" t="s">
        <v>282</v>
      </c>
      <c r="O29">
        <v>445</v>
      </c>
      <c r="Q29" t="s">
        <v>282</v>
      </c>
    </row>
    <row r="30" spans="2:17" x14ac:dyDescent="0.25">
      <c r="B30" t="s">
        <v>389</v>
      </c>
      <c r="C30" t="s">
        <v>282</v>
      </c>
      <c r="D30">
        <v>0.5</v>
      </c>
      <c r="E30" t="s">
        <v>282</v>
      </c>
      <c r="F30" t="s">
        <v>282</v>
      </c>
      <c r="G30">
        <v>153.94999999999999</v>
      </c>
      <c r="I30" t="s">
        <v>282</v>
      </c>
      <c r="J30" t="s">
        <v>282</v>
      </c>
      <c r="K30">
        <v>69</v>
      </c>
      <c r="M30" t="s">
        <v>282</v>
      </c>
      <c r="N30" t="s">
        <v>282</v>
      </c>
      <c r="O30">
        <v>376</v>
      </c>
      <c r="Q30" t="s">
        <v>282</v>
      </c>
    </row>
    <row r="31" spans="2:17" x14ac:dyDescent="0.25">
      <c r="B31" t="s">
        <v>390</v>
      </c>
      <c r="C31" t="s">
        <v>282</v>
      </c>
      <c r="D31">
        <v>1.7</v>
      </c>
      <c r="E31" t="s">
        <v>282</v>
      </c>
      <c r="F31" t="s">
        <v>282</v>
      </c>
      <c r="G31">
        <v>155.05000000000001</v>
      </c>
      <c r="I31" t="s">
        <v>282</v>
      </c>
      <c r="J31" t="s">
        <v>282</v>
      </c>
      <c r="K31">
        <v>271</v>
      </c>
      <c r="M31" t="s">
        <v>282</v>
      </c>
      <c r="N31" t="s">
        <v>282</v>
      </c>
      <c r="O31">
        <v>105</v>
      </c>
      <c r="Q31" t="s">
        <v>282</v>
      </c>
    </row>
    <row r="32" spans="2:17" x14ac:dyDescent="0.25">
      <c r="B32" t="s">
        <v>391</v>
      </c>
      <c r="C32" t="s">
        <v>282</v>
      </c>
      <c r="D32">
        <v>0.4</v>
      </c>
      <c r="E32" t="s">
        <v>282</v>
      </c>
      <c r="F32" t="s">
        <v>282</v>
      </c>
      <c r="G32">
        <v>166</v>
      </c>
      <c r="I32" t="s">
        <v>282</v>
      </c>
      <c r="J32" t="s">
        <v>282</v>
      </c>
      <c r="K32">
        <v>60</v>
      </c>
      <c r="M32" t="s">
        <v>282</v>
      </c>
      <c r="N32" t="s">
        <v>282</v>
      </c>
      <c r="O32">
        <v>46</v>
      </c>
      <c r="Q32" t="s">
        <v>282</v>
      </c>
    </row>
    <row r="33" spans="2:17" x14ac:dyDescent="0.25">
      <c r="B33" t="s">
        <v>15</v>
      </c>
      <c r="C33" t="s">
        <v>282</v>
      </c>
      <c r="D33">
        <v>2.9</v>
      </c>
      <c r="E33" t="s">
        <v>282</v>
      </c>
      <c r="F33" t="s">
        <v>282</v>
      </c>
      <c r="G33">
        <v>155.81</v>
      </c>
      <c r="I33" t="s">
        <v>282</v>
      </c>
      <c r="J33" t="s">
        <v>282</v>
      </c>
      <c r="K33">
        <v>451</v>
      </c>
      <c r="M33" t="s">
        <v>282</v>
      </c>
      <c r="N33" t="s">
        <v>282</v>
      </c>
      <c r="O33" t="s">
        <v>282</v>
      </c>
      <c r="Q33" t="s">
        <v>282</v>
      </c>
    </row>
    <row r="34" spans="2:17" x14ac:dyDescent="0.25">
      <c r="B34" s="90" t="s">
        <v>299</v>
      </c>
      <c r="C34" s="89" t="s">
        <v>282</v>
      </c>
      <c r="D34" s="90" t="s">
        <v>986</v>
      </c>
      <c r="E34" s="88"/>
      <c r="F34" s="89" t="s">
        <v>282</v>
      </c>
      <c r="G34" s="90" t="s">
        <v>392</v>
      </c>
      <c r="H34" s="88"/>
      <c r="I34" s="88"/>
      <c r="J34" s="89" t="s">
        <v>282</v>
      </c>
      <c r="K34" s="90" t="s">
        <v>394</v>
      </c>
      <c r="L34" s="88"/>
      <c r="M34" s="88"/>
      <c r="N34" s="89" t="s">
        <v>282</v>
      </c>
      <c r="O34" s="90" t="s">
        <v>396</v>
      </c>
    </row>
    <row r="35" spans="2:17" x14ac:dyDescent="0.25">
      <c r="B35" s="90" t="s">
        <v>387</v>
      </c>
      <c r="C35" s="89" t="s">
        <v>282</v>
      </c>
      <c r="D35" s="89" t="s">
        <v>282</v>
      </c>
      <c r="E35" s="89" t="s">
        <v>282</v>
      </c>
      <c r="F35" s="89" t="s">
        <v>282</v>
      </c>
      <c r="G35" s="90" t="s">
        <v>393</v>
      </c>
      <c r="H35" s="88"/>
      <c r="I35" s="88"/>
      <c r="J35" s="89" t="s">
        <v>282</v>
      </c>
      <c r="K35" s="90" t="s">
        <v>395</v>
      </c>
      <c r="L35" s="88"/>
      <c r="M35" s="88"/>
      <c r="N35" s="89" t="s">
        <v>282</v>
      </c>
      <c r="O35" s="90" t="s">
        <v>397</v>
      </c>
    </row>
    <row r="36" spans="2:17" x14ac:dyDescent="0.25">
      <c r="B36" s="89" t="s">
        <v>282</v>
      </c>
      <c r="C36" s="89" t="s">
        <v>282</v>
      </c>
      <c r="D36" s="89" t="s">
        <v>282</v>
      </c>
      <c r="E36" s="89" t="s">
        <v>282</v>
      </c>
      <c r="F36" s="89" t="s">
        <v>282</v>
      </c>
      <c r="G36" s="89" t="s">
        <v>282</v>
      </c>
      <c r="H36" s="89" t="s">
        <v>282</v>
      </c>
      <c r="I36" s="89" t="s">
        <v>282</v>
      </c>
      <c r="J36" s="89" t="s">
        <v>282</v>
      </c>
      <c r="K36" s="89" t="s">
        <v>282</v>
      </c>
      <c r="L36" s="89" t="s">
        <v>282</v>
      </c>
      <c r="M36" s="89" t="s">
        <v>282</v>
      </c>
      <c r="N36" s="89" t="s">
        <v>282</v>
      </c>
      <c r="O36" s="90" t="s">
        <v>398</v>
      </c>
    </row>
    <row r="37" spans="2:17" x14ac:dyDescent="0.25">
      <c r="B37" s="90" t="s">
        <v>987</v>
      </c>
      <c r="C37" s="89" t="s">
        <v>282</v>
      </c>
      <c r="D37" s="89" t="s">
        <v>282</v>
      </c>
      <c r="E37" s="88"/>
      <c r="F37" s="89" t="s">
        <v>282</v>
      </c>
      <c r="G37" s="89" t="s">
        <v>282</v>
      </c>
      <c r="H37" s="88"/>
      <c r="I37" s="88"/>
      <c r="J37" s="89" t="s">
        <v>282</v>
      </c>
      <c r="K37" s="89" t="s">
        <v>282</v>
      </c>
      <c r="L37" s="88"/>
      <c r="M37" s="88"/>
      <c r="N37" s="89" t="s">
        <v>282</v>
      </c>
      <c r="O37" s="89" t="s">
        <v>282</v>
      </c>
    </row>
    <row r="38" spans="2:17" x14ac:dyDescent="0.25">
      <c r="B38" s="90" t="s">
        <v>988</v>
      </c>
      <c r="C38" s="89" t="s">
        <v>282</v>
      </c>
      <c r="D38" s="244">
        <v>1</v>
      </c>
      <c r="E38" s="89" t="s">
        <v>282</v>
      </c>
      <c r="F38" s="89" t="s">
        <v>282</v>
      </c>
      <c r="G38" s="245">
        <v>138.15</v>
      </c>
      <c r="H38" s="88"/>
      <c r="I38" s="89" t="s">
        <v>282</v>
      </c>
      <c r="J38" s="89" t="s">
        <v>282</v>
      </c>
      <c r="K38" s="93">
        <v>137</v>
      </c>
      <c r="L38" s="88"/>
      <c r="M38" s="89" t="s">
        <v>282</v>
      </c>
      <c r="N38" s="89" t="s">
        <v>282</v>
      </c>
      <c r="O38" s="93">
        <v>37</v>
      </c>
    </row>
    <row r="39" spans="2:17" x14ac:dyDescent="0.25">
      <c r="B39" s="90" t="s">
        <v>989</v>
      </c>
      <c r="C39" s="89" t="s">
        <v>282</v>
      </c>
      <c r="D39" s="244">
        <v>0.3</v>
      </c>
      <c r="E39" s="89" t="s">
        <v>282</v>
      </c>
      <c r="F39" s="89" t="s">
        <v>282</v>
      </c>
      <c r="G39" s="244">
        <v>136.68</v>
      </c>
      <c r="H39" s="88"/>
      <c r="I39" s="89" t="s">
        <v>282</v>
      </c>
      <c r="J39" s="89" t="s">
        <v>282</v>
      </c>
      <c r="K39" s="94">
        <v>37</v>
      </c>
      <c r="L39" s="88"/>
      <c r="M39" s="89" t="s">
        <v>282</v>
      </c>
      <c r="N39" s="89" t="s">
        <v>282</v>
      </c>
      <c r="O39" s="90">
        <v>0</v>
      </c>
    </row>
    <row r="40" spans="2:17" x14ac:dyDescent="0.25">
      <c r="B40" s="90" t="s">
        <v>990</v>
      </c>
      <c r="C40" s="89" t="s">
        <v>282</v>
      </c>
      <c r="D40" s="244">
        <v>1.3</v>
      </c>
      <c r="E40" s="89" t="s">
        <v>282</v>
      </c>
      <c r="F40" s="89" t="s">
        <v>282</v>
      </c>
      <c r="G40" s="244">
        <v>137.83000000000001</v>
      </c>
      <c r="H40" s="88"/>
      <c r="I40" s="89" t="s">
        <v>282</v>
      </c>
      <c r="J40" s="89" t="s">
        <v>282</v>
      </c>
      <c r="K40" s="94">
        <v>174</v>
      </c>
      <c r="L40" s="88"/>
      <c r="M40" s="89" t="s">
        <v>282</v>
      </c>
      <c r="N40" s="89" t="s">
        <v>282</v>
      </c>
      <c r="O40" s="89" t="s">
        <v>282</v>
      </c>
    </row>
    <row r="41" spans="2:17" x14ac:dyDescent="0.25">
      <c r="B41" s="89" t="s">
        <v>282</v>
      </c>
      <c r="C41" s="89" t="s">
        <v>282</v>
      </c>
      <c r="D41" s="89" t="s">
        <v>282</v>
      </c>
      <c r="E41" s="88"/>
      <c r="F41" s="89" t="s">
        <v>282</v>
      </c>
      <c r="G41" s="89" t="s">
        <v>282</v>
      </c>
      <c r="H41" s="88"/>
      <c r="I41" s="88"/>
      <c r="J41" s="89" t="s">
        <v>282</v>
      </c>
      <c r="K41" s="89" t="s">
        <v>282</v>
      </c>
      <c r="L41" s="88"/>
      <c r="M41" s="88"/>
      <c r="N41" s="89" t="s">
        <v>282</v>
      </c>
      <c r="O41" s="89" t="s">
        <v>282</v>
      </c>
    </row>
    <row r="42" spans="2:17" x14ac:dyDescent="0.25">
      <c r="B42" s="90" t="s">
        <v>991</v>
      </c>
      <c r="C42" s="89" t="s">
        <v>282</v>
      </c>
      <c r="D42" s="89" t="s">
        <v>282</v>
      </c>
      <c r="E42" s="88"/>
      <c r="F42" s="89" t="s">
        <v>282</v>
      </c>
      <c r="G42" s="89" t="s">
        <v>282</v>
      </c>
      <c r="H42" s="88"/>
      <c r="I42" s="88"/>
      <c r="J42" s="89" t="s">
        <v>282</v>
      </c>
      <c r="K42" s="89" t="s">
        <v>282</v>
      </c>
      <c r="L42" s="88"/>
      <c r="M42" s="88"/>
      <c r="N42" s="89" t="s">
        <v>282</v>
      </c>
      <c r="O42" s="89" t="s">
        <v>282</v>
      </c>
    </row>
    <row r="43" spans="2:17" x14ac:dyDescent="0.25">
      <c r="B43" s="90" t="s">
        <v>989</v>
      </c>
      <c r="C43" s="89" t="s">
        <v>282</v>
      </c>
      <c r="D43" s="244">
        <v>2.4</v>
      </c>
      <c r="E43" s="89" t="s">
        <v>282</v>
      </c>
      <c r="F43" s="89" t="s">
        <v>282</v>
      </c>
      <c r="G43" s="244">
        <v>140.04</v>
      </c>
      <c r="H43" s="88"/>
      <c r="I43" s="89" t="s">
        <v>282</v>
      </c>
      <c r="J43" s="89" t="s">
        <v>282</v>
      </c>
      <c r="K43" s="94">
        <v>340</v>
      </c>
      <c r="L43" s="88"/>
      <c r="M43" s="89" t="s">
        <v>282</v>
      </c>
      <c r="N43" s="89" t="s">
        <v>282</v>
      </c>
      <c r="O43" s="94">
        <v>660</v>
      </c>
    </row>
    <row r="44" spans="2:17" x14ac:dyDescent="0.25">
      <c r="B44" s="90" t="s">
        <v>992</v>
      </c>
      <c r="C44" s="89" t="s">
        <v>282</v>
      </c>
      <c r="D44" s="244">
        <v>1.1000000000000001</v>
      </c>
      <c r="E44" s="89" t="s">
        <v>282</v>
      </c>
      <c r="F44" s="89" t="s">
        <v>282</v>
      </c>
      <c r="G44" s="244">
        <v>127.77</v>
      </c>
      <c r="H44" s="88"/>
      <c r="I44" s="89" t="s">
        <v>282</v>
      </c>
      <c r="J44" s="89" t="s">
        <v>282</v>
      </c>
      <c r="K44" s="94">
        <v>136</v>
      </c>
      <c r="L44" s="88"/>
      <c r="M44" s="89" t="s">
        <v>282</v>
      </c>
      <c r="N44" s="89" t="s">
        <v>282</v>
      </c>
      <c r="O44" s="94">
        <v>524</v>
      </c>
    </row>
    <row r="45" spans="2:17" x14ac:dyDescent="0.25">
      <c r="B45" s="90" t="s">
        <v>391</v>
      </c>
      <c r="C45" s="89" t="s">
        <v>282</v>
      </c>
      <c r="D45" s="244">
        <v>2.4</v>
      </c>
      <c r="E45" s="89" t="s">
        <v>282</v>
      </c>
      <c r="F45" s="89" t="s">
        <v>282</v>
      </c>
      <c r="G45" s="244">
        <v>100.57</v>
      </c>
      <c r="H45" s="88"/>
      <c r="I45" s="89" t="s">
        <v>282</v>
      </c>
      <c r="J45" s="89" t="s">
        <v>282</v>
      </c>
      <c r="K45" s="94">
        <v>250</v>
      </c>
      <c r="L45" s="88"/>
      <c r="M45" s="89" t="s">
        <v>282</v>
      </c>
      <c r="N45" s="89" t="s">
        <v>282</v>
      </c>
      <c r="O45" s="94">
        <v>274</v>
      </c>
    </row>
    <row r="46" spans="2:17" x14ac:dyDescent="0.25">
      <c r="B46" s="90" t="s">
        <v>990</v>
      </c>
      <c r="C46" s="89" t="s">
        <v>282</v>
      </c>
      <c r="D46" s="244">
        <v>5.9</v>
      </c>
      <c r="E46" s="89" t="s">
        <v>282</v>
      </c>
      <c r="F46" s="89" t="s">
        <v>282</v>
      </c>
      <c r="G46" s="244">
        <v>121.44</v>
      </c>
      <c r="H46" s="88"/>
      <c r="I46" s="89" t="s">
        <v>282</v>
      </c>
      <c r="J46" s="89" t="s">
        <v>282</v>
      </c>
      <c r="K46" s="94">
        <v>726</v>
      </c>
      <c r="L46" s="88"/>
      <c r="M46" s="89" t="s">
        <v>282</v>
      </c>
      <c r="N46" s="89" t="s">
        <v>282</v>
      </c>
      <c r="O46" s="89" t="s">
        <v>282</v>
      </c>
    </row>
    <row r="47" spans="2:17" x14ac:dyDescent="0.25">
      <c r="B47" s="92" t="s">
        <v>15</v>
      </c>
      <c r="C47" s="89" t="s">
        <v>282</v>
      </c>
      <c r="D47" s="244">
        <v>7.2</v>
      </c>
      <c r="E47" s="89" t="s">
        <v>282</v>
      </c>
      <c r="F47" s="89" t="s">
        <v>282</v>
      </c>
      <c r="G47" s="244">
        <v>124.3</v>
      </c>
      <c r="H47" s="88"/>
      <c r="I47" s="89" t="s">
        <v>282</v>
      </c>
      <c r="J47" s="89" t="s">
        <v>282</v>
      </c>
      <c r="K47" s="93">
        <v>900</v>
      </c>
      <c r="L47" s="88"/>
      <c r="M47" s="89" t="s">
        <v>282</v>
      </c>
      <c r="N47" s="89" t="s">
        <v>282</v>
      </c>
      <c r="O47" s="89" t="s">
        <v>282</v>
      </c>
    </row>
    <row r="49" spans="2:11" x14ac:dyDescent="0.25">
      <c r="B49" s="241" t="s">
        <v>403</v>
      </c>
    </row>
    <row r="50" spans="2:11" x14ac:dyDescent="0.25">
      <c r="B50" t="s">
        <v>282</v>
      </c>
      <c r="C50" t="s">
        <v>282</v>
      </c>
      <c r="D50">
        <v>2017</v>
      </c>
      <c r="E50">
        <v>2016</v>
      </c>
      <c r="F50">
        <v>2015</v>
      </c>
      <c r="G50">
        <v>2014</v>
      </c>
      <c r="H50">
        <v>2013</v>
      </c>
      <c r="K50" t="s">
        <v>282</v>
      </c>
    </row>
    <row r="51" spans="2:11" x14ac:dyDescent="0.25">
      <c r="B51" t="s">
        <v>399</v>
      </c>
      <c r="C51" t="s">
        <v>282</v>
      </c>
      <c r="D51">
        <v>1.0249999999999999</v>
      </c>
      <c r="E51">
        <v>0.97499999999999998</v>
      </c>
      <c r="F51">
        <v>0.78</v>
      </c>
      <c r="G51">
        <v>0.625</v>
      </c>
      <c r="H51">
        <v>0.5</v>
      </c>
      <c r="J51" t="s">
        <v>282</v>
      </c>
      <c r="K51" t="s">
        <v>282</v>
      </c>
    </row>
    <row r="52" spans="2:11" x14ac:dyDescent="0.25">
      <c r="B52" t="s">
        <v>400</v>
      </c>
      <c r="C52" t="s">
        <v>282</v>
      </c>
      <c r="D52">
        <v>1.0249999999999999</v>
      </c>
      <c r="E52">
        <v>0.97499999999999998</v>
      </c>
      <c r="F52">
        <v>0.78</v>
      </c>
      <c r="G52">
        <v>0.625</v>
      </c>
      <c r="H52">
        <v>0.5</v>
      </c>
      <c r="J52" t="s">
        <v>282</v>
      </c>
      <c r="K52" t="s">
        <v>282</v>
      </c>
    </row>
    <row r="53" spans="2:11" x14ac:dyDescent="0.25">
      <c r="B53" t="s">
        <v>401</v>
      </c>
      <c r="C53" t="s">
        <v>282</v>
      </c>
      <c r="D53">
        <v>1.08</v>
      </c>
      <c r="E53">
        <v>1.0249999999999999</v>
      </c>
      <c r="F53">
        <v>0.97499999999999998</v>
      </c>
      <c r="G53">
        <v>0.78</v>
      </c>
      <c r="H53">
        <v>0.625</v>
      </c>
      <c r="J53" t="s">
        <v>282</v>
      </c>
      <c r="K53" t="s">
        <v>282</v>
      </c>
    </row>
    <row r="54" spans="2:11" x14ac:dyDescent="0.25">
      <c r="B54" t="s">
        <v>402</v>
      </c>
      <c r="C54" t="s">
        <v>282</v>
      </c>
      <c r="D54">
        <v>1.08</v>
      </c>
      <c r="E54">
        <v>1.0249999999999999</v>
      </c>
      <c r="F54">
        <v>0.97499999999999998</v>
      </c>
      <c r="G54">
        <v>0.78</v>
      </c>
      <c r="H54">
        <v>0.625</v>
      </c>
      <c r="J54" t="s">
        <v>282</v>
      </c>
      <c r="K54" t="s">
        <v>282</v>
      </c>
    </row>
    <row r="55" spans="2:11" x14ac:dyDescent="0.25">
      <c r="B55" t="s">
        <v>15</v>
      </c>
      <c r="C55" t="s">
        <v>282</v>
      </c>
      <c r="D55">
        <v>4.21</v>
      </c>
      <c r="E55">
        <v>4</v>
      </c>
      <c r="F55">
        <v>3.51</v>
      </c>
      <c r="G55">
        <v>2.81</v>
      </c>
      <c r="H55">
        <v>2.25</v>
      </c>
      <c r="J55" t="s">
        <v>282</v>
      </c>
      <c r="K55" t="s">
        <v>282</v>
      </c>
    </row>
    <row r="57" spans="2:11" x14ac:dyDescent="0.25">
      <c r="D57">
        <f>D55/E55</f>
        <v>1.0525</v>
      </c>
      <c r="E57">
        <f t="shared" ref="E57:G57" si="0">E55/F55</f>
        <v>1.1396011396011396</v>
      </c>
      <c r="F57">
        <f t="shared" si="0"/>
        <v>1.2491103202846974</v>
      </c>
      <c r="G57">
        <f t="shared" si="0"/>
        <v>1.2488888888888889</v>
      </c>
    </row>
    <row r="58" spans="2:11" x14ac:dyDescent="0.25">
      <c r="D58">
        <f>D55*166.625</f>
        <v>701.49125000000004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78893-64FE-4B4C-A5FF-45B1FF7D9A94}">
  <sheetPr codeName="Sheet25">
    <tabColor theme="8" tint="0.39997558519241921"/>
  </sheetPr>
  <dimension ref="A1:Q62"/>
  <sheetViews>
    <sheetView zoomScaleNormal="100" workbookViewId="0"/>
  </sheetViews>
  <sheetFormatPr defaultRowHeight="15" x14ac:dyDescent="0.25"/>
  <cols>
    <col min="1" max="1" width="4.85546875" bestFit="1" customWidth="1"/>
    <col min="2" max="2" width="64.5703125" bestFit="1" customWidth="1"/>
    <col min="3" max="3" width="14.140625" style="239" customWidth="1"/>
    <col min="4" max="4" width="10.42578125" style="239" bestFit="1" customWidth="1"/>
    <col min="5" max="6" width="13.85546875" style="239" bestFit="1" customWidth="1"/>
    <col min="7" max="7" width="13" style="239" bestFit="1" customWidth="1"/>
    <col min="8" max="8" width="13.28515625" style="239" bestFit="1" customWidth="1"/>
    <col min="9" max="9" width="7" style="239" bestFit="1" customWidth="1"/>
    <col min="10" max="10" width="8.85546875" bestFit="1" customWidth="1"/>
  </cols>
  <sheetData>
    <row r="1" spans="1:9" x14ac:dyDescent="0.25">
      <c r="B1" t="s">
        <v>282</v>
      </c>
    </row>
    <row r="2" spans="1:9" ht="90" x14ac:dyDescent="0.25">
      <c r="B2" t="s">
        <v>282</v>
      </c>
      <c r="C2" s="221" t="s">
        <v>996</v>
      </c>
      <c r="D2" s="221" t="s">
        <v>999</v>
      </c>
      <c r="E2" s="221" t="s">
        <v>408</v>
      </c>
      <c r="F2" s="221" t="s">
        <v>409</v>
      </c>
      <c r="G2" s="221" t="s">
        <v>998</v>
      </c>
      <c r="H2" s="221" t="s">
        <v>997</v>
      </c>
      <c r="I2" s="221" t="s">
        <v>15</v>
      </c>
    </row>
    <row r="3" spans="1:9" x14ac:dyDescent="0.25">
      <c r="B3" t="s">
        <v>282</v>
      </c>
    </row>
    <row r="4" spans="1:9" x14ac:dyDescent="0.25">
      <c r="A4">
        <v>2012</v>
      </c>
      <c r="B4" t="s">
        <v>983</v>
      </c>
      <c r="C4" s="239">
        <v>-794</v>
      </c>
      <c r="D4" s="239">
        <v>-161</v>
      </c>
      <c r="E4" s="239">
        <v>5</v>
      </c>
      <c r="F4" s="64">
        <v>0</v>
      </c>
      <c r="G4" s="239">
        <v>-950</v>
      </c>
      <c r="H4" s="239" t="s">
        <v>282</v>
      </c>
      <c r="I4" s="239" t="s">
        <v>282</v>
      </c>
    </row>
    <row r="5" spans="1:9" x14ac:dyDescent="0.25">
      <c r="B5" s="9" t="s">
        <v>978</v>
      </c>
      <c r="C5" s="239" t="s">
        <v>282</v>
      </c>
      <c r="D5" s="239" t="s">
        <v>282</v>
      </c>
      <c r="E5" s="239" t="s">
        <v>282</v>
      </c>
      <c r="F5" s="239" t="s">
        <v>282</v>
      </c>
      <c r="G5" s="239" t="s">
        <v>282</v>
      </c>
      <c r="H5" s="239" t="s">
        <v>282</v>
      </c>
      <c r="I5" s="239" t="s">
        <v>282</v>
      </c>
    </row>
    <row r="6" spans="1:9" x14ac:dyDescent="0.25">
      <c r="B6" s="179" t="s">
        <v>979</v>
      </c>
      <c r="C6" s="239">
        <v>206</v>
      </c>
      <c r="D6" s="239">
        <v>-31</v>
      </c>
      <c r="E6" s="239">
        <v>16</v>
      </c>
      <c r="F6" s="239">
        <v>-6</v>
      </c>
      <c r="G6" s="239">
        <v>185</v>
      </c>
      <c r="H6" s="239">
        <v>-28</v>
      </c>
      <c r="I6" s="239">
        <v>157</v>
      </c>
    </row>
    <row r="7" spans="1:9" x14ac:dyDescent="0.25">
      <c r="B7" s="179" t="s">
        <v>984</v>
      </c>
      <c r="C7" s="239">
        <v>-87</v>
      </c>
      <c r="D7" s="239">
        <v>13</v>
      </c>
      <c r="E7" s="239">
        <v>-9</v>
      </c>
      <c r="F7" s="239">
        <v>3</v>
      </c>
      <c r="G7" s="239">
        <v>-80</v>
      </c>
      <c r="H7" s="239">
        <v>0</v>
      </c>
      <c r="I7" s="239">
        <v>-80</v>
      </c>
    </row>
    <row r="8" spans="1:9" x14ac:dyDescent="0.25">
      <c r="B8" s="179" t="s">
        <v>981</v>
      </c>
      <c r="C8" s="239">
        <v>119</v>
      </c>
      <c r="D8" s="239">
        <v>-18</v>
      </c>
      <c r="E8" s="239">
        <v>7</v>
      </c>
      <c r="F8" s="239">
        <v>-3</v>
      </c>
      <c r="G8" s="239">
        <v>105</v>
      </c>
      <c r="H8" s="239">
        <v>-28</v>
      </c>
      <c r="I8" s="239">
        <v>77</v>
      </c>
    </row>
    <row r="9" spans="1:9" x14ac:dyDescent="0.25">
      <c r="B9" s="9" t="s">
        <v>994</v>
      </c>
      <c r="C9" s="239">
        <v>64</v>
      </c>
      <c r="D9" s="239">
        <v>0</v>
      </c>
      <c r="E9" s="239">
        <v>-5</v>
      </c>
      <c r="F9" s="239">
        <v>2</v>
      </c>
      <c r="G9" s="239">
        <v>61</v>
      </c>
      <c r="H9" s="239">
        <v>-1</v>
      </c>
      <c r="I9" s="239">
        <v>60</v>
      </c>
    </row>
    <row r="10" spans="1:9" x14ac:dyDescent="0.25">
      <c r="B10" s="9" t="s">
        <v>995</v>
      </c>
      <c r="C10" s="239">
        <v>183</v>
      </c>
      <c r="D10" s="239">
        <v>-18</v>
      </c>
      <c r="E10" s="239">
        <v>2</v>
      </c>
      <c r="F10" s="239">
        <v>-1</v>
      </c>
      <c r="G10" s="239">
        <v>166</v>
      </c>
      <c r="H10" s="239">
        <v>-29</v>
      </c>
      <c r="I10" s="239">
        <v>137</v>
      </c>
    </row>
    <row r="11" spans="1:9" x14ac:dyDescent="0.25">
      <c r="A11">
        <v>2013</v>
      </c>
      <c r="B11" t="s">
        <v>985</v>
      </c>
      <c r="C11" s="239">
        <v>-611</v>
      </c>
      <c r="D11" s="239">
        <v>-179</v>
      </c>
      <c r="E11" s="239">
        <v>7</v>
      </c>
      <c r="F11" s="239">
        <v>-1</v>
      </c>
      <c r="G11" s="239">
        <v>-784</v>
      </c>
      <c r="H11" s="239" t="s">
        <v>282</v>
      </c>
      <c r="I11" s="239" t="s">
        <v>282</v>
      </c>
    </row>
    <row r="12" spans="1:9" x14ac:dyDescent="0.25">
      <c r="B12" s="9" t="s">
        <v>978</v>
      </c>
      <c r="C12" s="239" t="s">
        <v>282</v>
      </c>
      <c r="D12" s="239" t="s">
        <v>282</v>
      </c>
      <c r="E12" s="239" t="s">
        <v>282</v>
      </c>
      <c r="F12" s="239" t="s">
        <v>282</v>
      </c>
      <c r="G12" s="239" t="s">
        <v>282</v>
      </c>
      <c r="H12" s="239" t="s">
        <v>282</v>
      </c>
      <c r="I12" s="239" t="s">
        <v>282</v>
      </c>
    </row>
    <row r="13" spans="1:9" x14ac:dyDescent="0.25">
      <c r="B13" s="179" t="s">
        <v>979</v>
      </c>
      <c r="C13" s="239">
        <v>-196</v>
      </c>
      <c r="D13" s="239">
        <v>-241</v>
      </c>
      <c r="E13" s="239">
        <v>2</v>
      </c>
      <c r="F13" s="239">
        <v>2</v>
      </c>
      <c r="G13" s="239">
        <v>-433</v>
      </c>
      <c r="H13" s="239">
        <v>-7</v>
      </c>
      <c r="I13" s="239">
        <v>-440</v>
      </c>
    </row>
    <row r="14" spans="1:9" x14ac:dyDescent="0.25">
      <c r="B14" s="179" t="s">
        <v>980</v>
      </c>
      <c r="C14" s="239">
        <v>92</v>
      </c>
      <c r="D14" s="239">
        <v>14</v>
      </c>
      <c r="E14" s="239">
        <v>-1</v>
      </c>
      <c r="F14" s="239">
        <v>-1</v>
      </c>
      <c r="G14" s="239">
        <v>104</v>
      </c>
      <c r="H14" s="239">
        <v>0</v>
      </c>
      <c r="I14" s="239">
        <v>104</v>
      </c>
    </row>
    <row r="15" spans="1:9" x14ac:dyDescent="0.25">
      <c r="B15" s="179" t="s">
        <v>981</v>
      </c>
      <c r="C15" s="239">
        <v>-104</v>
      </c>
      <c r="D15" s="239">
        <v>-227</v>
      </c>
      <c r="E15" s="239">
        <v>1</v>
      </c>
      <c r="F15" s="239">
        <v>1</v>
      </c>
      <c r="G15" s="239">
        <v>-329</v>
      </c>
      <c r="H15" s="239">
        <v>-7</v>
      </c>
      <c r="I15" s="239">
        <v>-336</v>
      </c>
    </row>
    <row r="16" spans="1:9" x14ac:dyDescent="0.25">
      <c r="B16" s="9" t="s">
        <v>994</v>
      </c>
      <c r="C16" s="239">
        <v>46</v>
      </c>
      <c r="D16" s="239">
        <v>0</v>
      </c>
      <c r="E16" s="239">
        <v>-9</v>
      </c>
      <c r="F16" s="239">
        <v>-2</v>
      </c>
      <c r="G16" s="239">
        <v>35</v>
      </c>
      <c r="H16" s="239">
        <v>-4</v>
      </c>
      <c r="I16" s="239">
        <v>31</v>
      </c>
    </row>
    <row r="17" spans="1:9" x14ac:dyDescent="0.25">
      <c r="B17" s="9" t="s">
        <v>995</v>
      </c>
      <c r="C17" s="239">
        <v>-58</v>
      </c>
      <c r="D17" s="239">
        <v>-227</v>
      </c>
      <c r="E17" s="239">
        <v>-8</v>
      </c>
      <c r="F17" s="239">
        <v>-1</v>
      </c>
      <c r="G17" s="239">
        <v>-294</v>
      </c>
      <c r="H17" s="239">
        <v>-11</v>
      </c>
      <c r="I17" s="239">
        <v>-305</v>
      </c>
    </row>
    <row r="18" spans="1:9" x14ac:dyDescent="0.25">
      <c r="A18">
        <v>2014</v>
      </c>
      <c r="B18" t="s">
        <v>974</v>
      </c>
      <c r="C18" s="64">
        <v>-669</v>
      </c>
      <c r="D18" s="239">
        <v>-406</v>
      </c>
      <c r="E18" s="239">
        <v>-1</v>
      </c>
      <c r="F18" s="239">
        <v>-2</v>
      </c>
      <c r="G18" s="239">
        <v>-1078</v>
      </c>
      <c r="H18" s="239" t="s">
        <v>282</v>
      </c>
      <c r="I18" s="239" t="s">
        <v>282</v>
      </c>
    </row>
    <row r="19" spans="1:9" x14ac:dyDescent="0.25">
      <c r="B19" s="9" t="s">
        <v>978</v>
      </c>
      <c r="C19" s="239" t="s">
        <v>282</v>
      </c>
      <c r="D19" s="239" t="s">
        <v>282</v>
      </c>
      <c r="E19" s="239" t="s">
        <v>282</v>
      </c>
      <c r="F19" s="239" t="s">
        <v>282</v>
      </c>
      <c r="G19" s="239" t="s">
        <v>282</v>
      </c>
      <c r="H19" s="239" t="s">
        <v>282</v>
      </c>
      <c r="I19" s="239" t="s">
        <v>282</v>
      </c>
    </row>
    <row r="20" spans="1:9" x14ac:dyDescent="0.25">
      <c r="B20" s="179" t="s">
        <v>979</v>
      </c>
      <c r="C20" s="239">
        <v>-81</v>
      </c>
      <c r="D20" s="239">
        <v>-366</v>
      </c>
      <c r="E20" s="239">
        <v>0</v>
      </c>
      <c r="F20" s="239">
        <v>17</v>
      </c>
      <c r="G20" s="239">
        <v>-430</v>
      </c>
      <c r="H20" s="239">
        <v>-15</v>
      </c>
      <c r="I20" s="239">
        <v>-445</v>
      </c>
    </row>
    <row r="21" spans="1:9" x14ac:dyDescent="0.25">
      <c r="B21" s="179" t="s">
        <v>980</v>
      </c>
      <c r="C21" s="239">
        <v>35</v>
      </c>
      <c r="D21" s="239">
        <v>76</v>
      </c>
      <c r="E21" s="239">
        <v>0</v>
      </c>
      <c r="F21" s="239">
        <v>-1</v>
      </c>
      <c r="G21" s="239">
        <v>110</v>
      </c>
      <c r="H21" s="239">
        <v>0</v>
      </c>
      <c r="I21" s="239">
        <v>110</v>
      </c>
    </row>
    <row r="22" spans="1:9" x14ac:dyDescent="0.25">
      <c r="B22" s="179" t="s">
        <v>981</v>
      </c>
      <c r="C22" s="239">
        <v>-46</v>
      </c>
      <c r="D22" s="239">
        <v>-290</v>
      </c>
      <c r="E22" s="239">
        <v>0</v>
      </c>
      <c r="F22" s="239">
        <v>16</v>
      </c>
      <c r="G22" s="239">
        <v>-320</v>
      </c>
      <c r="H22" s="239">
        <v>-15</v>
      </c>
      <c r="I22" s="239">
        <v>-335</v>
      </c>
    </row>
    <row r="23" spans="1:9" x14ac:dyDescent="0.25">
      <c r="B23" s="9" t="s">
        <v>994</v>
      </c>
      <c r="C23" s="239">
        <v>61</v>
      </c>
      <c r="D23" s="239">
        <v>0</v>
      </c>
      <c r="E23" s="239">
        <v>-1</v>
      </c>
      <c r="F23" s="239">
        <v>-10</v>
      </c>
      <c r="G23" s="239">
        <v>50</v>
      </c>
      <c r="H23" s="239">
        <v>0</v>
      </c>
      <c r="I23" s="239">
        <v>50</v>
      </c>
    </row>
    <row r="24" spans="1:9" x14ac:dyDescent="0.25">
      <c r="B24" s="9" t="s">
        <v>995</v>
      </c>
      <c r="C24" s="239">
        <v>15</v>
      </c>
      <c r="D24" s="239">
        <v>-290</v>
      </c>
      <c r="E24" s="239">
        <v>-1</v>
      </c>
      <c r="F24" s="239">
        <v>6</v>
      </c>
      <c r="G24" s="239">
        <v>-270</v>
      </c>
      <c r="H24" s="239">
        <v>-15</v>
      </c>
      <c r="I24" s="239">
        <v>-285</v>
      </c>
    </row>
    <row r="25" spans="1:9" x14ac:dyDescent="0.25">
      <c r="A25">
        <v>2015</v>
      </c>
      <c r="B25" t="s">
        <v>489</v>
      </c>
      <c r="C25" s="239">
        <v>-654</v>
      </c>
      <c r="D25" s="239">
        <v>-696</v>
      </c>
      <c r="E25" s="239">
        <v>-2</v>
      </c>
      <c r="F25" s="239">
        <v>4</v>
      </c>
      <c r="G25" s="239">
        <v>-1348</v>
      </c>
      <c r="H25" s="239" t="s">
        <v>282</v>
      </c>
      <c r="I25" s="239" t="s">
        <v>282</v>
      </c>
    </row>
    <row r="26" spans="1:9" x14ac:dyDescent="0.25">
      <c r="B26" s="9" t="s">
        <v>978</v>
      </c>
      <c r="C26" s="239" t="s">
        <v>282</v>
      </c>
      <c r="D26" s="239" t="s">
        <v>282</v>
      </c>
      <c r="E26" s="239" t="s">
        <v>282</v>
      </c>
      <c r="F26" s="239" t="s">
        <v>282</v>
      </c>
      <c r="G26" s="239" t="s">
        <v>282</v>
      </c>
      <c r="H26" s="239" t="s">
        <v>282</v>
      </c>
      <c r="I26" s="239" t="s">
        <v>282</v>
      </c>
    </row>
    <row r="27" spans="1:9" x14ac:dyDescent="0.25">
      <c r="B27" s="179" t="s">
        <v>979</v>
      </c>
      <c r="C27" s="239">
        <v>-111</v>
      </c>
      <c r="D27" s="239">
        <v>-469</v>
      </c>
      <c r="E27" s="239">
        <v>1</v>
      </c>
      <c r="F27" s="239">
        <v>-38</v>
      </c>
      <c r="G27" s="239">
        <v>-617</v>
      </c>
      <c r="H27" s="239">
        <v>-17</v>
      </c>
      <c r="I27" s="239">
        <v>-634</v>
      </c>
    </row>
    <row r="28" spans="1:9" x14ac:dyDescent="0.25">
      <c r="B28" s="179" t="s">
        <v>982</v>
      </c>
      <c r="C28" s="239">
        <v>44</v>
      </c>
      <c r="D28" s="239">
        <v>38</v>
      </c>
      <c r="E28" s="239">
        <v>0</v>
      </c>
      <c r="F28" s="239">
        <v>6</v>
      </c>
      <c r="G28" s="239">
        <v>88</v>
      </c>
      <c r="H28" s="239">
        <v>0</v>
      </c>
      <c r="I28" s="239">
        <v>88</v>
      </c>
    </row>
    <row r="29" spans="1:9" x14ac:dyDescent="0.25">
      <c r="B29" s="179" t="s">
        <v>981</v>
      </c>
      <c r="C29" s="239">
        <v>-67</v>
      </c>
      <c r="D29" s="239">
        <v>-431</v>
      </c>
      <c r="E29" s="239">
        <v>1</v>
      </c>
      <c r="F29" s="239">
        <v>-32</v>
      </c>
      <c r="G29" s="239">
        <v>-529</v>
      </c>
      <c r="H29" s="239">
        <v>-17</v>
      </c>
      <c r="I29" s="239">
        <v>-546</v>
      </c>
    </row>
    <row r="30" spans="1:9" x14ac:dyDescent="0.25">
      <c r="B30" s="9" t="s">
        <v>994</v>
      </c>
      <c r="C30" s="239">
        <v>36</v>
      </c>
      <c r="D30" s="239">
        <v>0</v>
      </c>
      <c r="E30" s="239">
        <v>0</v>
      </c>
      <c r="F30" s="239">
        <v>20</v>
      </c>
      <c r="G30" s="239">
        <v>56</v>
      </c>
      <c r="H30" s="239">
        <v>0</v>
      </c>
      <c r="I30" s="239">
        <v>56</v>
      </c>
    </row>
    <row r="31" spans="1:9" x14ac:dyDescent="0.25">
      <c r="B31" s="9" t="s">
        <v>995</v>
      </c>
      <c r="C31" s="239">
        <v>-31</v>
      </c>
      <c r="D31" s="239">
        <v>-431</v>
      </c>
      <c r="E31" s="239">
        <v>1</v>
      </c>
      <c r="F31" s="239">
        <v>-12</v>
      </c>
      <c r="G31" s="239">
        <v>-473</v>
      </c>
      <c r="H31" s="239">
        <v>-17</v>
      </c>
      <c r="I31" s="239">
        <v>-490</v>
      </c>
    </row>
    <row r="32" spans="1:9" x14ac:dyDescent="0.25">
      <c r="A32">
        <v>2016</v>
      </c>
      <c r="B32" t="s">
        <v>492</v>
      </c>
      <c r="C32" s="239">
        <v>-685</v>
      </c>
      <c r="D32" s="239">
        <v>-1127</v>
      </c>
      <c r="E32" s="239">
        <v>-1</v>
      </c>
      <c r="F32" s="239">
        <v>-8</v>
      </c>
      <c r="G32" s="239">
        <v>-1821</v>
      </c>
      <c r="H32" s="239" t="s">
        <v>282</v>
      </c>
      <c r="I32" s="239" t="s">
        <v>282</v>
      </c>
    </row>
    <row r="33" spans="1:17" x14ac:dyDescent="0.25">
      <c r="B33" s="9" t="s">
        <v>978</v>
      </c>
      <c r="C33" s="239" t="s">
        <v>282</v>
      </c>
      <c r="D33" s="239" t="s">
        <v>282</v>
      </c>
      <c r="E33" s="239" t="s">
        <v>282</v>
      </c>
      <c r="F33" s="239" t="s">
        <v>282</v>
      </c>
      <c r="G33" s="239" t="s">
        <v>282</v>
      </c>
      <c r="H33" s="239" t="s">
        <v>282</v>
      </c>
      <c r="I33" s="239" t="s">
        <v>282</v>
      </c>
    </row>
    <row r="34" spans="1:17" x14ac:dyDescent="0.25">
      <c r="B34" s="179" t="s">
        <v>979</v>
      </c>
      <c r="C34" s="239">
        <v>73</v>
      </c>
      <c r="D34" s="239">
        <v>335</v>
      </c>
      <c r="E34" s="239">
        <v>2</v>
      </c>
      <c r="F34" s="239">
        <v>-12</v>
      </c>
      <c r="G34" s="239">
        <v>398</v>
      </c>
      <c r="H34" s="239">
        <v>20</v>
      </c>
      <c r="I34" s="239">
        <v>418</v>
      </c>
    </row>
    <row r="35" spans="1:17" x14ac:dyDescent="0.25">
      <c r="B35" s="179" t="s">
        <v>982</v>
      </c>
      <c r="C35" s="239">
        <v>-36</v>
      </c>
      <c r="D35" s="239">
        <v>-20</v>
      </c>
      <c r="E35" s="239">
        <v>0</v>
      </c>
      <c r="F35" s="239">
        <v>5</v>
      </c>
      <c r="G35" s="239">
        <v>-51</v>
      </c>
      <c r="H35" s="239">
        <v>0</v>
      </c>
      <c r="I35" s="239">
        <v>-51</v>
      </c>
    </row>
    <row r="36" spans="1:17" x14ac:dyDescent="0.25">
      <c r="B36" s="179" t="s">
        <v>981</v>
      </c>
      <c r="C36" s="239">
        <v>37</v>
      </c>
      <c r="D36" s="239">
        <v>315</v>
      </c>
      <c r="E36" s="239">
        <v>2</v>
      </c>
      <c r="F36" s="239">
        <v>-7</v>
      </c>
      <c r="G36" s="239">
        <v>347</v>
      </c>
      <c r="H36" s="239">
        <v>20</v>
      </c>
      <c r="I36" s="239">
        <v>367</v>
      </c>
    </row>
    <row r="37" spans="1:17" x14ac:dyDescent="0.25">
      <c r="B37" s="9" t="s">
        <v>994</v>
      </c>
      <c r="C37" s="239">
        <v>62</v>
      </c>
      <c r="D37" s="239">
        <v>0</v>
      </c>
      <c r="E37" s="239">
        <v>0</v>
      </c>
      <c r="F37" s="239">
        <v>12</v>
      </c>
      <c r="G37" s="239">
        <v>74</v>
      </c>
      <c r="H37" s="239">
        <v>0</v>
      </c>
      <c r="I37" s="239">
        <v>74</v>
      </c>
    </row>
    <row r="38" spans="1:17" x14ac:dyDescent="0.25">
      <c r="B38" s="10" t="s">
        <v>463</v>
      </c>
      <c r="C38" s="239">
        <v>-103</v>
      </c>
      <c r="D38" s="239">
        <v>0</v>
      </c>
      <c r="E38" s="239">
        <v>0</v>
      </c>
      <c r="F38" s="239">
        <v>0</v>
      </c>
      <c r="G38" s="239">
        <v>-103</v>
      </c>
      <c r="H38" s="239">
        <v>0</v>
      </c>
      <c r="I38" s="239">
        <v>-103</v>
      </c>
    </row>
    <row r="39" spans="1:17" x14ac:dyDescent="0.25">
      <c r="B39" t="s">
        <v>995</v>
      </c>
      <c r="C39" s="239">
        <v>-4</v>
      </c>
      <c r="D39" s="239">
        <v>315</v>
      </c>
      <c r="E39" s="239">
        <v>2</v>
      </c>
      <c r="F39" s="239">
        <v>5</v>
      </c>
      <c r="G39" s="239">
        <v>318</v>
      </c>
      <c r="H39" s="239">
        <v>20</v>
      </c>
      <c r="I39" s="239">
        <v>338</v>
      </c>
    </row>
    <row r="40" spans="1:17" x14ac:dyDescent="0.25">
      <c r="A40" s="246">
        <v>2017</v>
      </c>
      <c r="B40" t="s">
        <v>493</v>
      </c>
      <c r="C40" s="239">
        <v>-689</v>
      </c>
      <c r="D40" s="239">
        <v>-812</v>
      </c>
      <c r="E40" s="239">
        <v>1</v>
      </c>
      <c r="F40" s="239">
        <v>-3</v>
      </c>
      <c r="G40" s="239">
        <v>-1503</v>
      </c>
      <c r="H40" s="239" t="s">
        <v>282</v>
      </c>
      <c r="I40" s="239" t="s">
        <v>282</v>
      </c>
    </row>
    <row r="42" spans="1:17" x14ac:dyDescent="0.25">
      <c r="C42"/>
      <c r="D42"/>
      <c r="E42"/>
      <c r="F42"/>
      <c r="G42"/>
      <c r="H42">
        <f>H45/'Income Statement (Y)'!H3</f>
        <v>-5.2940409440605032E-2</v>
      </c>
      <c r="I42">
        <f>I45/'Income Statement (Y)'!I3</f>
        <v>-8.6313854637359272E-2</v>
      </c>
      <c r="J42">
        <f>J45/'Income Statement (Y)'!J3</f>
        <v>-4.9142130904469394E-2</v>
      </c>
      <c r="K42">
        <f>K45/'Income Statement (Y)'!K3</f>
        <v>-2.8272980501392757E-2</v>
      </c>
      <c r="L42">
        <f>L45/'Income Statement (Y)'!L3</f>
        <v>-1.3747024038092312E-2</v>
      </c>
    </row>
    <row r="43" spans="1:17" x14ac:dyDescent="0.25">
      <c r="B43" t="s">
        <v>74</v>
      </c>
      <c r="C43" s="209">
        <v>2022</v>
      </c>
      <c r="D43" s="209">
        <v>2021</v>
      </c>
      <c r="E43" s="209">
        <v>2020</v>
      </c>
      <c r="F43" s="209">
        <v>2019</v>
      </c>
      <c r="G43" s="209">
        <v>2018</v>
      </c>
      <c r="H43" s="209">
        <v>2017</v>
      </c>
      <c r="I43" s="209">
        <v>2016</v>
      </c>
      <c r="J43" s="209">
        <v>2015</v>
      </c>
      <c r="K43" s="209">
        <v>2014</v>
      </c>
      <c r="L43" s="209">
        <v>2013</v>
      </c>
      <c r="M43" s="209">
        <v>2012</v>
      </c>
      <c r="N43" t="s">
        <v>1028</v>
      </c>
      <c r="O43" t="s">
        <v>1116</v>
      </c>
      <c r="P43" t="s">
        <v>1025</v>
      </c>
      <c r="Q43" t="s">
        <v>886</v>
      </c>
    </row>
    <row r="44" spans="1:17" x14ac:dyDescent="0.25">
      <c r="B44" s="249" t="s">
        <v>996</v>
      </c>
      <c r="C44" s="216">
        <f t="shared" ref="C44:G47" si="0">$N44*C$43+$O44</f>
        <v>-782</v>
      </c>
      <c r="D44" s="216">
        <f t="shared" si="0"/>
        <v>-764.79999999999563</v>
      </c>
      <c r="E44" s="216">
        <f t="shared" si="0"/>
        <v>-747.59999999999854</v>
      </c>
      <c r="F44" s="216">
        <f t="shared" si="0"/>
        <v>-730.39999999999418</v>
      </c>
      <c r="G44" s="216">
        <f>$N44*G$43+$O44</f>
        <v>-713.19999999999709</v>
      </c>
      <c r="H44" s="216">
        <f t="shared" ref="H44:M47" si="1">INDEX($C$4:$I$40, MATCH(H$43,$A$4:$A$40, 0), MATCH($B44, $C$2:$I$2, 0))</f>
        <v>-689</v>
      </c>
      <c r="I44" s="246">
        <f t="shared" si="1"/>
        <v>-685</v>
      </c>
      <c r="J44" s="246">
        <f t="shared" si="1"/>
        <v>-654</v>
      </c>
      <c r="K44" s="246">
        <f t="shared" si="1"/>
        <v>-669</v>
      </c>
      <c r="L44" s="246">
        <f t="shared" si="1"/>
        <v>-611</v>
      </c>
      <c r="M44" s="246">
        <f t="shared" si="1"/>
        <v>-794</v>
      </c>
      <c r="N44" s="261">
        <f>SLOPE(H44:L44, $H$43:$L$43)</f>
        <v>-17.2</v>
      </c>
      <c r="O44" s="281">
        <f>INTERCEPT(H44:L44,$H$43:$L$43)</f>
        <v>33996.400000000001</v>
      </c>
      <c r="P44" t="s">
        <v>1071</v>
      </c>
      <c r="Q44" t="s">
        <v>1070</v>
      </c>
    </row>
    <row r="45" spans="1:17" x14ac:dyDescent="0.25">
      <c r="B45" s="249" t="s">
        <v>999</v>
      </c>
      <c r="C45" s="216">
        <f t="shared" si="0"/>
        <v>-1932.5714285714203</v>
      </c>
      <c r="D45" s="216">
        <f t="shared" si="0"/>
        <v>-1750.0285714285565</v>
      </c>
      <c r="E45" s="216">
        <f t="shared" si="0"/>
        <v>-1567.4857142856927</v>
      </c>
      <c r="F45" s="216">
        <f t="shared" si="0"/>
        <v>-1384.9428571428289</v>
      </c>
      <c r="G45" s="216">
        <f t="shared" si="0"/>
        <v>-1202.3999999999651</v>
      </c>
      <c r="H45" s="216">
        <f t="shared" si="1"/>
        <v>-812</v>
      </c>
      <c r="I45" s="246">
        <f t="shared" si="1"/>
        <v>-1127</v>
      </c>
      <c r="J45" s="246">
        <f t="shared" si="1"/>
        <v>-696</v>
      </c>
      <c r="K45" s="246">
        <f t="shared" si="1"/>
        <v>-406</v>
      </c>
      <c r="L45" s="246">
        <f t="shared" si="1"/>
        <v>-179</v>
      </c>
      <c r="M45" s="246">
        <f t="shared" si="1"/>
        <v>-161</v>
      </c>
      <c r="N45" s="261">
        <f>SLOPE(H45:M45, $H$43:$M$43)</f>
        <v>-182.54285714285714</v>
      </c>
      <c r="O45" s="281">
        <f>INTERCEPT(H45:M45,$H$43:$M$43)</f>
        <v>367169.08571428573</v>
      </c>
      <c r="P45" t="s">
        <v>1020</v>
      </c>
    </row>
    <row r="46" spans="1:17" x14ac:dyDescent="0.25">
      <c r="B46" s="249" t="s">
        <v>408</v>
      </c>
      <c r="C46" s="216">
        <f t="shared" ref="C46:F46" si="2">$N46</f>
        <v>1.5</v>
      </c>
      <c r="D46" s="216">
        <f t="shared" si="2"/>
        <v>1.5</v>
      </c>
      <c r="E46" s="216">
        <f t="shared" si="2"/>
        <v>1.5</v>
      </c>
      <c r="F46" s="216">
        <f t="shared" si="2"/>
        <v>1.5</v>
      </c>
      <c r="G46" s="216">
        <f>$N46</f>
        <v>1.5</v>
      </c>
      <c r="H46" s="216">
        <f t="shared" si="1"/>
        <v>1</v>
      </c>
      <c r="I46" s="246">
        <f t="shared" si="1"/>
        <v>-1</v>
      </c>
      <c r="J46" s="246">
        <f t="shared" si="1"/>
        <v>-2</v>
      </c>
      <c r="K46" s="246">
        <f t="shared" si="1"/>
        <v>-1</v>
      </c>
      <c r="L46" s="246">
        <f t="shared" si="1"/>
        <v>7</v>
      </c>
      <c r="M46" s="246">
        <f t="shared" si="1"/>
        <v>5</v>
      </c>
      <c r="N46" s="11">
        <f>AVERAGE(H46:M46)</f>
        <v>1.5</v>
      </c>
      <c r="P46" t="s">
        <v>1011</v>
      </c>
    </row>
    <row r="47" spans="1:17" x14ac:dyDescent="0.25">
      <c r="B47" s="249" t="s">
        <v>409</v>
      </c>
      <c r="C47" s="216">
        <f t="shared" si="0"/>
        <v>-8.095238095238301</v>
      </c>
      <c r="D47" s="216">
        <f t="shared" si="0"/>
        <v>-7.2380952380954113</v>
      </c>
      <c r="E47" s="216">
        <f t="shared" si="0"/>
        <v>-6.3809523809525217</v>
      </c>
      <c r="F47" s="216">
        <f t="shared" si="0"/>
        <v>-5.5238095238096321</v>
      </c>
      <c r="G47" s="216">
        <f t="shared" si="0"/>
        <v>-4.6666666666667425</v>
      </c>
      <c r="H47" s="216">
        <f t="shared" si="1"/>
        <v>-3</v>
      </c>
      <c r="I47" s="246">
        <f t="shared" si="1"/>
        <v>-8</v>
      </c>
      <c r="J47" s="246">
        <f t="shared" si="1"/>
        <v>4</v>
      </c>
      <c r="K47" s="246">
        <f t="shared" si="1"/>
        <v>-2</v>
      </c>
      <c r="L47" s="246">
        <f t="shared" si="1"/>
        <v>-1</v>
      </c>
      <c r="M47" s="246">
        <f t="shared" si="1"/>
        <v>0</v>
      </c>
      <c r="N47" s="290">
        <f>SLOPE(H47:M47, $H$43:$M$43)</f>
        <v>-0.8571428571428571</v>
      </c>
      <c r="O47" s="281">
        <f>INTERCEPT(H47:M47,$H$43:$M$43)</f>
        <v>1725.0476190476188</v>
      </c>
      <c r="P47" t="s">
        <v>1020</v>
      </c>
    </row>
    <row r="48" spans="1:17" x14ac:dyDescent="0.25">
      <c r="B48" s="249" t="s">
        <v>998</v>
      </c>
      <c r="C48" s="216">
        <f t="shared" ref="C48:F48" si="3">SUM(C44:C47)</f>
        <v>-2721.1666666666588</v>
      </c>
      <c r="D48" s="216">
        <f t="shared" si="3"/>
        <v>-2520.5666666666475</v>
      </c>
      <c r="E48" s="216">
        <f t="shared" si="3"/>
        <v>-2319.9666666666435</v>
      </c>
      <c r="F48" s="216">
        <f t="shared" si="3"/>
        <v>-2119.3666666666327</v>
      </c>
      <c r="G48" s="216">
        <f>SUM(G44:G47)</f>
        <v>-1918.7666666666289</v>
      </c>
      <c r="H48" s="216">
        <v>-1503</v>
      </c>
      <c r="I48" s="246">
        <v>-1821</v>
      </c>
      <c r="J48" s="246">
        <v>-1348</v>
      </c>
      <c r="K48" s="246">
        <v>-1078</v>
      </c>
      <c r="L48" s="246">
        <v>-784</v>
      </c>
      <c r="M48" s="246">
        <v>-950</v>
      </c>
    </row>
    <row r="49" spans="2:16" x14ac:dyDescent="0.25">
      <c r="H49" s="246"/>
      <c r="I49" s="246"/>
      <c r="J49" s="246"/>
      <c r="K49" s="246"/>
      <c r="L49" s="246"/>
      <c r="M49" s="246"/>
    </row>
    <row r="50" spans="2:16" x14ac:dyDescent="0.25">
      <c r="B50" s="249" t="s">
        <v>1000</v>
      </c>
      <c r="H50" s="246"/>
      <c r="I50" s="246"/>
      <c r="J50" s="246"/>
      <c r="K50" s="246"/>
      <c r="L50" s="246"/>
      <c r="M50" s="246"/>
    </row>
    <row r="51" spans="2:16" x14ac:dyDescent="0.25">
      <c r="B51" s="251" t="s">
        <v>996</v>
      </c>
      <c r="C51" s="216">
        <f t="shared" ref="C51:G54" si="4">C44-D44</f>
        <v>-17.200000000004366</v>
      </c>
      <c r="D51" s="216">
        <f t="shared" si="4"/>
        <v>-17.19999999999709</v>
      </c>
      <c r="E51" s="216">
        <f t="shared" si="4"/>
        <v>-17.200000000004366</v>
      </c>
      <c r="F51" s="216">
        <f t="shared" si="4"/>
        <v>-17.19999999999709</v>
      </c>
      <c r="G51" s="216">
        <f t="shared" si="4"/>
        <v>-24.19999999999709</v>
      </c>
      <c r="H51" s="216">
        <f>H44-I44</f>
        <v>-4</v>
      </c>
      <c r="I51" s="246">
        <f t="shared" ref="I51:L51" si="5">I44-J44</f>
        <v>-31</v>
      </c>
      <c r="J51" s="246">
        <f t="shared" si="5"/>
        <v>15</v>
      </c>
      <c r="K51" s="246">
        <f t="shared" si="5"/>
        <v>-58</v>
      </c>
      <c r="L51" s="246">
        <f t="shared" si="5"/>
        <v>183</v>
      </c>
      <c r="M51" s="246"/>
      <c r="N51" s="281"/>
      <c r="O51" s="281"/>
    </row>
    <row r="52" spans="2:16" x14ac:dyDescent="0.25">
      <c r="B52" s="251" t="s">
        <v>999</v>
      </c>
      <c r="C52" s="216">
        <f t="shared" si="4"/>
        <v>-182.5428571428638</v>
      </c>
      <c r="D52" s="216">
        <f t="shared" si="4"/>
        <v>-182.5428571428638</v>
      </c>
      <c r="E52" s="216">
        <f t="shared" si="4"/>
        <v>-182.5428571428638</v>
      </c>
      <c r="F52" s="216">
        <f t="shared" si="4"/>
        <v>-182.5428571428638</v>
      </c>
      <c r="G52" s="216">
        <f t="shared" si="4"/>
        <v>-390.39999999996508</v>
      </c>
      <c r="H52" s="216">
        <f t="shared" ref="H52:L55" si="6">H45-I45</f>
        <v>315</v>
      </c>
      <c r="I52" s="246">
        <f t="shared" si="6"/>
        <v>-431</v>
      </c>
      <c r="J52" s="246">
        <f t="shared" si="6"/>
        <v>-290</v>
      </c>
      <c r="K52" s="246">
        <f t="shared" si="6"/>
        <v>-227</v>
      </c>
      <c r="L52" s="246">
        <f t="shared" si="6"/>
        <v>-18</v>
      </c>
      <c r="M52" s="246"/>
    </row>
    <row r="53" spans="2:16" x14ac:dyDescent="0.25">
      <c r="B53" s="251" t="s">
        <v>408</v>
      </c>
      <c r="C53" s="216">
        <f t="shared" si="4"/>
        <v>0</v>
      </c>
      <c r="D53" s="216">
        <f t="shared" si="4"/>
        <v>0</v>
      </c>
      <c r="E53" s="216">
        <f t="shared" si="4"/>
        <v>0</v>
      </c>
      <c r="F53" s="216">
        <f t="shared" si="4"/>
        <v>0</v>
      </c>
      <c r="G53" s="216">
        <f t="shared" si="4"/>
        <v>0.5</v>
      </c>
      <c r="H53" s="216">
        <f t="shared" si="6"/>
        <v>2</v>
      </c>
      <c r="I53" s="246">
        <f t="shared" si="6"/>
        <v>1</v>
      </c>
      <c r="J53" s="246">
        <f t="shared" si="6"/>
        <v>-1</v>
      </c>
      <c r="K53" s="246">
        <f t="shared" si="6"/>
        <v>-8</v>
      </c>
      <c r="L53" s="246">
        <f t="shared" si="6"/>
        <v>2</v>
      </c>
      <c r="M53" s="246"/>
    </row>
    <row r="54" spans="2:16" x14ac:dyDescent="0.25">
      <c r="B54" s="251" t="s">
        <v>409</v>
      </c>
      <c r="C54" s="216">
        <f t="shared" si="4"/>
        <v>-0.85714285714288962</v>
      </c>
      <c r="D54" s="216">
        <f t="shared" si="4"/>
        <v>-0.85714285714288962</v>
      </c>
      <c r="E54" s="216">
        <f t="shared" si="4"/>
        <v>-0.85714285714288962</v>
      </c>
      <c r="F54" s="216">
        <f t="shared" si="4"/>
        <v>-0.85714285714288962</v>
      </c>
      <c r="G54" s="216">
        <f t="shared" si="4"/>
        <v>-1.6666666666667425</v>
      </c>
      <c r="H54" s="216">
        <f t="shared" si="6"/>
        <v>5</v>
      </c>
      <c r="I54" s="246">
        <f t="shared" si="6"/>
        <v>-12</v>
      </c>
      <c r="J54" s="246">
        <f t="shared" si="6"/>
        <v>6</v>
      </c>
      <c r="K54" s="246">
        <f t="shared" si="6"/>
        <v>-1</v>
      </c>
      <c r="L54" s="246">
        <f t="shared" si="6"/>
        <v>-1</v>
      </c>
      <c r="M54" s="246"/>
    </row>
    <row r="55" spans="2:16" x14ac:dyDescent="0.25">
      <c r="B55" s="249" t="s">
        <v>998</v>
      </c>
      <c r="C55" s="216">
        <f t="shared" ref="C55:G55" si="7">C48-D48</f>
        <v>-200.60000000001128</v>
      </c>
      <c r="D55" s="216">
        <f t="shared" si="7"/>
        <v>-200.600000000004</v>
      </c>
      <c r="E55" s="216">
        <f t="shared" si="7"/>
        <v>-200.60000000001082</v>
      </c>
      <c r="F55" s="216">
        <f t="shared" si="7"/>
        <v>-200.60000000000377</v>
      </c>
      <c r="G55" s="216">
        <f t="shared" si="7"/>
        <v>-415.76666666662891</v>
      </c>
      <c r="H55" s="216">
        <f t="shared" si="6"/>
        <v>318</v>
      </c>
      <c r="I55" s="246">
        <f t="shared" si="6"/>
        <v>-473</v>
      </c>
      <c r="J55" s="246">
        <f t="shared" si="6"/>
        <v>-270</v>
      </c>
      <c r="K55" s="246">
        <f t="shared" si="6"/>
        <v>-294</v>
      </c>
      <c r="L55" s="246">
        <f t="shared" si="6"/>
        <v>166</v>
      </c>
      <c r="M55" s="246"/>
    </row>
    <row r="56" spans="2:16" x14ac:dyDescent="0.25">
      <c r="B56" s="249" t="s">
        <v>997</v>
      </c>
      <c r="C56" s="216">
        <f t="shared" ref="C56:G56" si="8">$N56*C$43+$O56</f>
        <v>6</v>
      </c>
      <c r="D56" s="216">
        <f t="shared" si="8"/>
        <v>2.8000000000001819</v>
      </c>
      <c r="E56" s="216">
        <f t="shared" si="8"/>
        <v>-0.4000000000005457</v>
      </c>
      <c r="F56" s="216">
        <f t="shared" si="8"/>
        <v>-3.6000000000003638</v>
      </c>
      <c r="G56" s="216">
        <f t="shared" si="8"/>
        <v>-6.8000000000001819</v>
      </c>
      <c r="H56" s="216">
        <f>H39</f>
        <v>20</v>
      </c>
      <c r="I56" s="246">
        <f>H31</f>
        <v>-17</v>
      </c>
      <c r="J56" s="246">
        <f>H24</f>
        <v>-15</v>
      </c>
      <c r="K56" s="246">
        <f>H17</f>
        <v>-11</v>
      </c>
      <c r="L56" s="246">
        <f>H10</f>
        <v>-29</v>
      </c>
      <c r="M56" s="246"/>
      <c r="N56" s="281">
        <f>SLOPE(I56:L56, $I$43:$L$43)</f>
        <v>3.2</v>
      </c>
      <c r="O56" s="281">
        <f>INTERCEPT(I56:L56,$I$43:$L$43)</f>
        <v>-6464.4000000000005</v>
      </c>
      <c r="P56" t="s">
        <v>1071</v>
      </c>
    </row>
    <row r="57" spans="2:16" x14ac:dyDescent="0.25">
      <c r="C57" s="216"/>
      <c r="D57" s="216"/>
      <c r="E57" s="216"/>
      <c r="F57" s="216"/>
      <c r="G57" s="216"/>
      <c r="J57" s="239"/>
      <c r="K57" s="239"/>
      <c r="L57" s="239"/>
      <c r="M57" s="239"/>
    </row>
    <row r="58" spans="2:16" x14ac:dyDescent="0.25">
      <c r="B58" s="249" t="s">
        <v>15</v>
      </c>
      <c r="C58" s="216">
        <f t="shared" ref="C58:I58" si="9">C56+C55</f>
        <v>-194.60000000001128</v>
      </c>
      <c r="D58" s="216">
        <f t="shared" si="9"/>
        <v>-197.80000000000382</v>
      </c>
      <c r="E58" s="216">
        <f t="shared" si="9"/>
        <v>-201.00000000001137</v>
      </c>
      <c r="F58" s="216">
        <f t="shared" si="9"/>
        <v>-204.20000000000414</v>
      </c>
      <c r="G58" s="216">
        <f t="shared" si="9"/>
        <v>-422.56666666662909</v>
      </c>
      <c r="H58" s="216">
        <f t="shared" si="9"/>
        <v>338</v>
      </c>
      <c r="I58" s="216">
        <f t="shared" si="9"/>
        <v>-490</v>
      </c>
      <c r="J58" s="216">
        <f>J56+J55</f>
        <v>-285</v>
      </c>
      <c r="K58" s="246">
        <v>-305</v>
      </c>
      <c r="L58" s="246">
        <v>137</v>
      </c>
      <c r="M58" s="246">
        <v>0</v>
      </c>
    </row>
    <row r="60" spans="2:16" x14ac:dyDescent="0.25">
      <c r="C60" s="246"/>
      <c r="D60" s="246"/>
      <c r="E60" s="246"/>
      <c r="F60" s="246"/>
      <c r="G60" s="246"/>
      <c r="H60" s="246"/>
      <c r="I60" s="246"/>
    </row>
    <row r="61" spans="2:16" x14ac:dyDescent="0.25">
      <c r="C61" s="246"/>
      <c r="D61" s="246"/>
      <c r="E61" s="246"/>
      <c r="F61" s="246"/>
      <c r="G61" s="246"/>
      <c r="H61" s="246"/>
      <c r="I61" s="246"/>
    </row>
    <row r="62" spans="2:16" x14ac:dyDescent="0.25">
      <c r="C62" s="246"/>
      <c r="D62" s="246"/>
      <c r="E62" s="246"/>
      <c r="F62" s="246"/>
      <c r="G62" s="246"/>
      <c r="H62" s="246"/>
      <c r="I62" s="246"/>
    </row>
  </sheetData>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75C614-6966-4B6C-95C4-D9DD854E2846}">
  <sheetPr codeName="Sheet26">
    <tabColor theme="8" tint="0.39997558519241921"/>
  </sheetPr>
  <dimension ref="B1:P35"/>
  <sheetViews>
    <sheetView workbookViewId="0"/>
  </sheetViews>
  <sheetFormatPr defaultRowHeight="15" x14ac:dyDescent="0.25"/>
  <cols>
    <col min="2" max="2" width="39.28515625" bestFit="1" customWidth="1"/>
    <col min="3" max="7" width="12" bestFit="1" customWidth="1"/>
    <col min="8" max="8" width="10.7109375" bestFit="1" customWidth="1"/>
    <col min="9" max="10" width="9.85546875" bestFit="1" customWidth="1"/>
    <col min="12" max="12" width="10.7109375" bestFit="1" customWidth="1"/>
    <col min="13" max="13" width="10.5703125" bestFit="1" customWidth="1"/>
    <col min="14" max="14" width="11.85546875" bestFit="1" customWidth="1"/>
  </cols>
  <sheetData>
    <row r="1" spans="2:16" x14ac:dyDescent="0.25">
      <c r="B1" t="s">
        <v>1224</v>
      </c>
      <c r="C1">
        <v>2022</v>
      </c>
      <c r="D1">
        <v>2021</v>
      </c>
      <c r="E1">
        <v>2020</v>
      </c>
      <c r="F1">
        <v>2019</v>
      </c>
      <c r="G1">
        <v>2018</v>
      </c>
      <c r="H1">
        <v>2017</v>
      </c>
      <c r="I1">
        <v>2016</v>
      </c>
      <c r="J1">
        <v>2015</v>
      </c>
      <c r="K1">
        <v>2014</v>
      </c>
      <c r="L1">
        <v>2013</v>
      </c>
      <c r="M1" t="s">
        <v>1229</v>
      </c>
      <c r="N1" t="s">
        <v>1116</v>
      </c>
      <c r="O1" t="s">
        <v>1025</v>
      </c>
      <c r="P1" t="s">
        <v>886</v>
      </c>
    </row>
    <row r="2" spans="2:16" x14ac:dyDescent="0.25">
      <c r="B2" t="s">
        <v>1225</v>
      </c>
      <c r="C2" s="11">
        <f>'Income Statement (Y)'!C38</f>
        <v>1591.5778847855368</v>
      </c>
      <c r="D2" s="11">
        <f>'Income Statement (Y)'!D38</f>
        <v>1650.7472040737582</v>
      </c>
      <c r="E2" s="11">
        <f>'Income Statement (Y)'!E38</f>
        <v>1718.7471352290779</v>
      </c>
      <c r="F2" s="11">
        <f>'Income Statement (Y)'!F38</f>
        <v>1790.2266861661963</v>
      </c>
      <c r="G2" s="11">
        <f>'Income Statement (Y)'!G38</f>
        <v>2124.814813566642</v>
      </c>
      <c r="H2" s="11">
        <f>'Income Statement (Y)'!H38</f>
        <v>999</v>
      </c>
      <c r="I2" s="11">
        <f>'Income Statement (Y)'!I38</f>
        <v>1394</v>
      </c>
      <c r="J2" s="11">
        <f>'Income Statement (Y)'!J38</f>
        <v>1399</v>
      </c>
      <c r="K2" s="11">
        <f>'Income Statement (Y)'!K38</f>
        <v>1651</v>
      </c>
      <c r="L2" s="11">
        <f>'Income Statement (Y)'!L38</f>
        <v>1483</v>
      </c>
      <c r="M2" s="11"/>
    </row>
    <row r="3" spans="2:16" x14ac:dyDescent="0.25">
      <c r="B3" t="s">
        <v>282</v>
      </c>
      <c r="H3" t="s">
        <v>282</v>
      </c>
      <c r="I3" t="s">
        <v>282</v>
      </c>
      <c r="J3" t="s">
        <v>282</v>
      </c>
      <c r="K3" t="s">
        <v>282</v>
      </c>
      <c r="L3" t="s">
        <v>282</v>
      </c>
    </row>
    <row r="4" spans="2:16" x14ac:dyDescent="0.25">
      <c r="B4" t="s">
        <v>1226</v>
      </c>
      <c r="H4" t="s">
        <v>282</v>
      </c>
      <c r="I4" t="s">
        <v>282</v>
      </c>
      <c r="J4" t="s">
        <v>282</v>
      </c>
      <c r="K4" t="s">
        <v>282</v>
      </c>
      <c r="L4" t="s">
        <v>282</v>
      </c>
    </row>
    <row r="5" spans="2:16" x14ac:dyDescent="0.25">
      <c r="B5" t="s">
        <v>14</v>
      </c>
      <c r="C5" s="320">
        <f t="shared" ref="C5:G6" si="0">C$1*$M5+$N5</f>
        <v>138630554.80000114</v>
      </c>
      <c r="D5" s="320">
        <f t="shared" si="0"/>
        <v>144064283</v>
      </c>
      <c r="E5" s="320">
        <f t="shared" si="0"/>
        <v>149498011.20000076</v>
      </c>
      <c r="F5" s="320">
        <f t="shared" si="0"/>
        <v>154931739.39999962</v>
      </c>
      <c r="G5" s="320">
        <f>G$1*$M5+$N5</f>
        <v>160365467.60000038</v>
      </c>
      <c r="H5">
        <v>166625320</v>
      </c>
      <c r="I5">
        <v>169038410</v>
      </c>
      <c r="J5">
        <v>178037581</v>
      </c>
      <c r="K5">
        <v>182637568</v>
      </c>
      <c r="L5">
        <v>186994382</v>
      </c>
      <c r="M5" s="300">
        <f>SLOPE(H5:L5, $H$1:$L$1)</f>
        <v>-5433728.2000000002</v>
      </c>
      <c r="N5">
        <f>INTERCEPT(H5:L5, $H$1:$L$1)</f>
        <v>11125628975.200001</v>
      </c>
    </row>
    <row r="6" spans="2:16" x14ac:dyDescent="0.25">
      <c r="B6" t="s">
        <v>1227</v>
      </c>
      <c r="C6" s="320">
        <f t="shared" si="0"/>
        <v>646092.49999999255</v>
      </c>
      <c r="D6" s="320">
        <f t="shared" si="0"/>
        <v>616027.39999999106</v>
      </c>
      <c r="E6" s="320">
        <f t="shared" si="0"/>
        <v>585962.29999999702</v>
      </c>
      <c r="F6" s="320">
        <f t="shared" si="0"/>
        <v>555897.19999999553</v>
      </c>
      <c r="G6" s="320">
        <f t="shared" si="0"/>
        <v>525832.09999999404</v>
      </c>
      <c r="H6">
        <v>645545</v>
      </c>
      <c r="I6">
        <v>298206</v>
      </c>
      <c r="J6">
        <v>369247</v>
      </c>
      <c r="K6">
        <v>441727</v>
      </c>
      <c r="L6">
        <v>423459</v>
      </c>
      <c r="M6" s="300">
        <f>SLOPE(H6:L6, $H$1:$L$1)</f>
        <v>30065.1</v>
      </c>
      <c r="N6">
        <f>INTERCEPT(H6:L6, $H$1:$L$1)</f>
        <v>-60145539.700000003</v>
      </c>
    </row>
    <row r="7" spans="2:16" x14ac:dyDescent="0.25">
      <c r="B7" t="s">
        <v>285</v>
      </c>
      <c r="C7" s="11">
        <f t="shared" ref="C7:G7" si="1">C5+C6</f>
        <v>139276647.30000114</v>
      </c>
      <c r="D7" s="11">
        <f t="shared" si="1"/>
        <v>144680310.39999998</v>
      </c>
      <c r="E7" s="11">
        <f t="shared" si="1"/>
        <v>150083973.50000077</v>
      </c>
      <c r="F7" s="11">
        <f t="shared" si="1"/>
        <v>155487636.59999961</v>
      </c>
      <c r="G7" s="11">
        <f t="shared" si="1"/>
        <v>160891299.70000038</v>
      </c>
      <c r="H7">
        <f>H5+H6</f>
        <v>167270865</v>
      </c>
      <c r="I7">
        <f t="shared" ref="I7" si="2">I5+I6</f>
        <v>169336616</v>
      </c>
      <c r="J7">
        <f t="shared" ref="J7" si="3">J5+J6</f>
        <v>178406828</v>
      </c>
      <c r="K7">
        <f t="shared" ref="K7" si="4">K5+K6</f>
        <v>183079295</v>
      </c>
      <c r="L7">
        <f t="shared" ref="L7" si="5">L5+L6</f>
        <v>187417841</v>
      </c>
    </row>
    <row r="9" spans="2:16" x14ac:dyDescent="0.25">
      <c r="B9" t="s">
        <v>1228</v>
      </c>
    </row>
    <row r="10" spans="2:16" x14ac:dyDescent="0.25">
      <c r="B10" t="s">
        <v>14</v>
      </c>
      <c r="C10" s="16">
        <f t="shared" ref="C10:L10" si="6">C$2/C5*M</f>
        <v>11.48071496274156</v>
      </c>
      <c r="D10" s="16">
        <f t="shared" si="6"/>
        <v>11.458407106178832</v>
      </c>
      <c r="E10" s="16">
        <f t="shared" si="6"/>
        <v>11.496789297950668</v>
      </c>
      <c r="F10" s="16">
        <f t="shared" si="6"/>
        <v>11.554938278619755</v>
      </c>
      <c r="G10" s="16">
        <f t="shared" si="6"/>
        <v>13.249827692745972</v>
      </c>
      <c r="H10" s="16">
        <f t="shared" si="6"/>
        <v>5.9954873605043941</v>
      </c>
      <c r="I10" s="16">
        <f t="shared" si="6"/>
        <v>8.2466464278739959</v>
      </c>
      <c r="J10" s="16">
        <f t="shared" si="6"/>
        <v>7.8578915313391056</v>
      </c>
      <c r="K10" s="16">
        <f t="shared" si="6"/>
        <v>9.0397611952432477</v>
      </c>
      <c r="L10" s="16">
        <f t="shared" si="6"/>
        <v>7.9307195442909073</v>
      </c>
    </row>
    <row r="11" spans="2:16" x14ac:dyDescent="0.25">
      <c r="B11" t="s">
        <v>285</v>
      </c>
      <c r="C11" s="16">
        <f t="shared" ref="C11:L11" si="7">C$2/C7*M</f>
        <v>11.427456904223767</v>
      </c>
      <c r="D11" s="16">
        <f t="shared" si="7"/>
        <v>11.409618900525656</v>
      </c>
      <c r="E11" s="16">
        <f t="shared" si="7"/>
        <v>11.451903192242369</v>
      </c>
      <c r="F11" s="16">
        <f t="shared" si="7"/>
        <v>11.5136272266563</v>
      </c>
      <c r="G11" s="16">
        <f t="shared" si="7"/>
        <v>13.206524016703167</v>
      </c>
      <c r="H11" s="16">
        <f t="shared" si="7"/>
        <v>5.9723490997670154</v>
      </c>
      <c r="I11" s="16">
        <f t="shared" si="7"/>
        <v>8.2321238780394665</v>
      </c>
      <c r="J11" s="16">
        <f t="shared" si="7"/>
        <v>7.8416281242330026</v>
      </c>
      <c r="K11" s="16">
        <f t="shared" si="7"/>
        <v>9.017950391386421</v>
      </c>
      <c r="L11" s="16">
        <f t="shared" si="7"/>
        <v>7.9128005748396175</v>
      </c>
      <c r="M11" s="16"/>
    </row>
    <row r="12" spans="2:16" x14ac:dyDescent="0.25">
      <c r="M12" s="16"/>
    </row>
    <row r="13" spans="2:16" x14ac:dyDescent="0.25">
      <c r="B13" t="s">
        <v>1230</v>
      </c>
      <c r="C13" s="300">
        <f>-(M5+M6)</f>
        <v>5403663.1000000006</v>
      </c>
    </row>
    <row r="15" spans="2:16" x14ac:dyDescent="0.25">
      <c r="B15" t="s">
        <v>1233</v>
      </c>
      <c r="C15">
        <f t="shared" ref="C15:G15" si="8">C2/$H$5*M</f>
        <v>9.5518369284184228</v>
      </c>
      <c r="D15">
        <f t="shared" si="8"/>
        <v>9.9069409383505356</v>
      </c>
      <c r="E15">
        <f t="shared" si="8"/>
        <v>10.315041766936009</v>
      </c>
      <c r="F15">
        <f t="shared" si="8"/>
        <v>10.744025494841937</v>
      </c>
      <c r="G15">
        <f t="shared" si="8"/>
        <v>12.752052410561863</v>
      </c>
      <c r="H15">
        <f>H2/$H$5*M</f>
        <v>5.9954873605043941</v>
      </c>
    </row>
    <row r="16" spans="2:16" x14ac:dyDescent="0.25">
      <c r="H16" t="s">
        <v>282</v>
      </c>
    </row>
    <row r="18" spans="2:15" x14ac:dyDescent="0.25">
      <c r="H18" s="11">
        <f>H2+'Cash Flow (Y)'!H6</f>
        <v>1582</v>
      </c>
      <c r="I18" s="11">
        <f>I2+'Cash Flow (Y)'!I6</f>
        <v>1924</v>
      </c>
      <c r="J18" s="11">
        <f>J2+'Cash Flow (Y)'!J6</f>
        <v>1913</v>
      </c>
      <c r="K18" s="11">
        <f>K2+'Cash Flow (Y)'!K6</f>
        <v>2106</v>
      </c>
    </row>
    <row r="19" spans="2:15" x14ac:dyDescent="0.25">
      <c r="C19" s="100"/>
      <c r="D19" s="100"/>
      <c r="E19" s="100"/>
      <c r="F19" s="100"/>
      <c r="G19" s="201"/>
      <c r="H19" s="201"/>
    </row>
    <row r="20" spans="2:15" x14ac:dyDescent="0.25">
      <c r="C20" s="103"/>
      <c r="D20" s="103"/>
      <c r="E20" s="103"/>
      <c r="F20" s="103"/>
      <c r="G20" s="201"/>
      <c r="H20" s="201"/>
    </row>
    <row r="22" spans="2:15" x14ac:dyDescent="0.25">
      <c r="B22" s="121" t="s">
        <v>528</v>
      </c>
      <c r="C22" s="100">
        <f t="shared" ref="C22:F22" si="9">$M22*C$1+$N22</f>
        <v>36.800000000000068</v>
      </c>
      <c r="D22" s="100">
        <f t="shared" si="9"/>
        <v>36.400000000000091</v>
      </c>
      <c r="E22" s="100">
        <f t="shared" si="9"/>
        <v>36</v>
      </c>
      <c r="F22" s="100">
        <f t="shared" si="9"/>
        <v>35.600000000000023</v>
      </c>
      <c r="G22" s="100">
        <f>$M22*G$1+$N22</f>
        <v>35.200000000000045</v>
      </c>
      <c r="H22" s="100">
        <v>41</v>
      </c>
      <c r="I22" s="100">
        <v>32</v>
      </c>
      <c r="J22" s="100">
        <v>24</v>
      </c>
      <c r="K22" s="100">
        <v>36</v>
      </c>
      <c r="L22" s="100">
        <v>37</v>
      </c>
      <c r="M22" s="97">
        <f>SLOPE(H22:L22,$H$1:$L$1)</f>
        <v>0.4</v>
      </c>
      <c r="N22" s="97">
        <f>INTERCEPT(H22:L22, $H$1:$L$1)</f>
        <v>-772</v>
      </c>
      <c r="O22" s="97" t="s">
        <v>1020</v>
      </c>
    </row>
    <row r="23" spans="2:15" x14ac:dyDescent="0.25">
      <c r="B23" s="180"/>
      <c r="C23" s="180"/>
      <c r="D23" s="181"/>
    </row>
    <row r="24" spans="2:15" x14ac:dyDescent="0.25">
      <c r="B24" s="90"/>
      <c r="C24" s="89"/>
      <c r="D24" s="91"/>
      <c r="E24" s="88"/>
      <c r="F24" s="88"/>
      <c r="G24" s="89"/>
      <c r="H24" s="91"/>
      <c r="I24" s="88"/>
      <c r="J24" s="88"/>
      <c r="K24" s="89"/>
      <c r="L24" s="91"/>
      <c r="M24" s="88"/>
    </row>
    <row r="25" spans="2:15" x14ac:dyDescent="0.25">
      <c r="B25" s="321" t="s">
        <v>1232</v>
      </c>
      <c r="C25" s="89"/>
      <c r="D25" s="93"/>
      <c r="E25" s="88"/>
      <c r="F25" s="89"/>
      <c r="G25" s="89"/>
      <c r="H25" s="93"/>
      <c r="I25" s="88"/>
      <c r="J25" s="89"/>
      <c r="K25" s="89"/>
      <c r="L25" s="93"/>
      <c r="M25" s="88"/>
    </row>
    <row r="26" spans="2:15" x14ac:dyDescent="0.25">
      <c r="C26" s="89"/>
      <c r="D26" s="89"/>
      <c r="E26" s="88"/>
      <c r="F26" s="88"/>
      <c r="G26" s="89"/>
      <c r="H26" s="89"/>
      <c r="I26" s="88"/>
      <c r="J26" s="88"/>
      <c r="K26" s="89"/>
      <c r="L26" s="89"/>
      <c r="M26" s="88"/>
    </row>
    <row r="27" spans="2:15" x14ac:dyDescent="0.25">
      <c r="C27" s="89"/>
      <c r="D27" s="89"/>
      <c r="E27" s="88"/>
      <c r="F27" s="88"/>
      <c r="G27" s="89"/>
      <c r="H27" s="89"/>
      <c r="I27" s="88"/>
      <c r="J27" s="88"/>
      <c r="K27" s="89"/>
      <c r="L27" s="89"/>
      <c r="M27" s="88"/>
    </row>
    <row r="28" spans="2:15" x14ac:dyDescent="0.25">
      <c r="C28" s="89"/>
      <c r="D28" s="94"/>
      <c r="E28" s="88"/>
      <c r="F28" s="89"/>
      <c r="G28" s="89"/>
      <c r="H28" s="94"/>
      <c r="I28" s="88"/>
      <c r="J28" s="89"/>
      <c r="K28" s="89"/>
      <c r="L28" s="94"/>
      <c r="M28" s="88"/>
    </row>
    <row r="29" spans="2:15" x14ac:dyDescent="0.25">
      <c r="C29" s="89"/>
      <c r="D29" s="94"/>
      <c r="E29" s="88"/>
      <c r="F29" s="89"/>
      <c r="G29" s="89"/>
      <c r="H29" s="94"/>
      <c r="I29" s="88"/>
      <c r="J29" s="89"/>
      <c r="K29" s="89"/>
      <c r="L29" s="94"/>
      <c r="M29" s="88"/>
    </row>
    <row r="30" spans="2:15" ht="25.5" x14ac:dyDescent="0.25">
      <c r="B30" s="322" t="s">
        <v>1243</v>
      </c>
      <c r="C30" s="322" t="s">
        <v>1244</v>
      </c>
      <c r="D30" s="322" t="s">
        <v>1245</v>
      </c>
      <c r="E30" s="322" t="s">
        <v>1246</v>
      </c>
      <c r="F30" s="322" t="s">
        <v>1247</v>
      </c>
      <c r="G30" s="89"/>
      <c r="H30" s="94"/>
      <c r="I30" s="88"/>
      <c r="J30" s="89"/>
      <c r="K30" s="89"/>
      <c r="L30" s="94"/>
      <c r="M30" s="88"/>
    </row>
    <row r="31" spans="2:15" x14ac:dyDescent="0.25">
      <c r="B31" s="323" t="s">
        <v>1248</v>
      </c>
      <c r="C31" s="324">
        <v>43190</v>
      </c>
      <c r="D31" s="323">
        <v>1053</v>
      </c>
      <c r="E31" s="325">
        <v>138589</v>
      </c>
      <c r="F31" s="323">
        <v>83.95</v>
      </c>
      <c r="G31" s="89"/>
      <c r="H31" s="89"/>
      <c r="I31" s="88"/>
      <c r="J31" s="88"/>
      <c r="K31" s="89"/>
      <c r="L31" s="89"/>
      <c r="M31" s="88"/>
    </row>
    <row r="32" spans="2:15" x14ac:dyDescent="0.25">
      <c r="B32" t="s">
        <v>1232</v>
      </c>
      <c r="C32" s="88"/>
      <c r="D32" s="88"/>
      <c r="E32" s="88"/>
      <c r="F32" s="88"/>
      <c r="G32" s="88"/>
      <c r="H32" s="88"/>
      <c r="I32" s="88"/>
      <c r="J32" s="88"/>
      <c r="K32" s="88"/>
      <c r="L32" s="88"/>
      <c r="M32" s="88"/>
    </row>
    <row r="33" spans="2:13" x14ac:dyDescent="0.25">
      <c r="B33" s="90"/>
      <c r="C33" s="89"/>
      <c r="D33" s="245"/>
      <c r="E33" s="88"/>
      <c r="F33" s="89"/>
      <c r="G33" s="89"/>
      <c r="H33" s="245"/>
      <c r="I33" s="88"/>
      <c r="J33" s="89"/>
      <c r="K33" s="89"/>
      <c r="L33" s="245"/>
      <c r="M33" s="88"/>
    </row>
    <row r="34" spans="2:13" x14ac:dyDescent="0.25">
      <c r="B34" s="90"/>
      <c r="C34" s="89"/>
      <c r="D34" s="244"/>
      <c r="E34" s="88"/>
      <c r="F34" s="89"/>
      <c r="G34" s="89"/>
      <c r="H34" s="244"/>
      <c r="I34" s="88"/>
      <c r="J34" s="89"/>
      <c r="K34" s="89"/>
      <c r="L34" s="244"/>
      <c r="M34" s="88"/>
    </row>
    <row r="35" spans="2:13" x14ac:dyDescent="0.25">
      <c r="B35" s="88"/>
      <c r="C35" s="88"/>
      <c r="D35" s="88"/>
      <c r="E35" s="88"/>
      <c r="F35" s="88"/>
      <c r="G35" s="88"/>
      <c r="H35" s="88"/>
      <c r="I35" s="88"/>
      <c r="J35" s="88"/>
      <c r="K35" s="88"/>
      <c r="L35" s="88"/>
      <c r="M35" s="88"/>
    </row>
  </sheetData>
  <hyperlinks>
    <hyperlink ref="B25" r:id="rId1" xr:uid="{7CD9A58A-4B14-4FD3-AB4E-F35E2075F928}"/>
  </hyperlinks>
  <pageMargins left="0.7" right="0.7" top="0.75" bottom="0.75" header="0.3" footer="0.3"/>
  <legacy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B39CE-5E2E-4DFB-B145-2CE0E4ADA89A}">
  <sheetPr codeName="Sheet27">
    <tabColor theme="8" tint="0.39997558519241921"/>
  </sheetPr>
  <dimension ref="A1"/>
  <sheetViews>
    <sheetView workbookViewId="0"/>
  </sheetViews>
  <sheetFormatPr defaultRowHeight="15" x14ac:dyDescent="0.2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95C71-A01B-4404-99DF-4B51714EB3EA}">
  <sheetPr codeName="Sheet28">
    <tabColor theme="8" tint="0.39997558519241921"/>
  </sheetPr>
  <dimension ref="A1:T95"/>
  <sheetViews>
    <sheetView workbookViewId="0"/>
  </sheetViews>
  <sheetFormatPr defaultRowHeight="15" x14ac:dyDescent="0.25"/>
  <cols>
    <col min="1" max="1" width="39.42578125" bestFit="1" customWidth="1"/>
    <col min="10" max="10" width="45.85546875" bestFit="1" customWidth="1"/>
  </cols>
  <sheetData>
    <row r="1" spans="1:20" x14ac:dyDescent="0.25">
      <c r="A1" t="s">
        <v>295</v>
      </c>
      <c r="C1" t="s">
        <v>225</v>
      </c>
      <c r="D1" t="s">
        <v>263</v>
      </c>
      <c r="E1" t="s">
        <v>933</v>
      </c>
      <c r="F1" t="s">
        <v>250</v>
      </c>
      <c r="G1" t="s">
        <v>934</v>
      </c>
      <c r="H1" t="s">
        <v>15</v>
      </c>
    </row>
    <row r="2" spans="1:20" x14ac:dyDescent="0.25">
      <c r="A2">
        <v>2017</v>
      </c>
      <c r="C2" t="s">
        <v>282</v>
      </c>
      <c r="D2" t="s">
        <v>282</v>
      </c>
      <c r="E2" t="s">
        <v>282</v>
      </c>
      <c r="F2" t="s">
        <v>282</v>
      </c>
      <c r="G2" t="s">
        <v>282</v>
      </c>
    </row>
    <row r="3" spans="1:20" x14ac:dyDescent="0.25">
      <c r="A3" t="s">
        <v>349</v>
      </c>
      <c r="C3">
        <v>6661</v>
      </c>
      <c r="D3">
        <v>7029</v>
      </c>
      <c r="E3">
        <v>4363</v>
      </c>
      <c r="F3">
        <v>2375</v>
      </c>
      <c r="G3" s="2">
        <v>0</v>
      </c>
      <c r="J3" t="s">
        <v>349</v>
      </c>
      <c r="P3" t="s">
        <v>282</v>
      </c>
    </row>
    <row r="4" spans="1:20" x14ac:dyDescent="0.25">
      <c r="A4" t="s">
        <v>350</v>
      </c>
      <c r="C4">
        <v>2292</v>
      </c>
      <c r="D4">
        <v>29</v>
      </c>
      <c r="E4">
        <v>1526</v>
      </c>
      <c r="F4">
        <v>1683</v>
      </c>
      <c r="G4" s="108">
        <v>-5530</v>
      </c>
      <c r="J4" t="s">
        <v>350</v>
      </c>
      <c r="P4" t="s">
        <v>282</v>
      </c>
    </row>
    <row r="5" spans="1:20" x14ac:dyDescent="0.25">
      <c r="A5" t="s">
        <v>335</v>
      </c>
      <c r="C5">
        <v>8953</v>
      </c>
      <c r="D5">
        <v>7058</v>
      </c>
      <c r="E5">
        <v>5889</v>
      </c>
      <c r="F5">
        <v>4058</v>
      </c>
      <c r="G5" s="108">
        <v>-5530</v>
      </c>
      <c r="J5" t="s">
        <v>335</v>
      </c>
      <c r="P5" t="s">
        <v>282</v>
      </c>
    </row>
    <row r="6" spans="1:20" x14ac:dyDescent="0.25">
      <c r="A6" t="s">
        <v>935</v>
      </c>
      <c r="C6">
        <v>184</v>
      </c>
      <c r="D6">
        <v>116</v>
      </c>
      <c r="E6">
        <v>163</v>
      </c>
      <c r="F6">
        <v>117</v>
      </c>
      <c r="G6">
        <v>0</v>
      </c>
      <c r="J6" t="s">
        <v>935</v>
      </c>
      <c r="P6" t="s">
        <v>282</v>
      </c>
    </row>
    <row r="7" spans="1:20" x14ac:dyDescent="0.25">
      <c r="A7" t="s">
        <v>291</v>
      </c>
      <c r="C7">
        <v>279</v>
      </c>
      <c r="D7">
        <v>19</v>
      </c>
      <c r="E7">
        <v>240</v>
      </c>
      <c r="F7">
        <v>214</v>
      </c>
      <c r="G7">
        <v>0</v>
      </c>
      <c r="J7" t="s">
        <v>291</v>
      </c>
      <c r="P7" t="s">
        <v>282</v>
      </c>
    </row>
    <row r="8" spans="1:20" x14ac:dyDescent="0.25">
      <c r="A8" t="s">
        <v>946</v>
      </c>
      <c r="C8">
        <v>219</v>
      </c>
      <c r="D8">
        <v>44</v>
      </c>
      <c r="E8">
        <v>40</v>
      </c>
      <c r="F8">
        <v>54</v>
      </c>
      <c r="G8">
        <v>0</v>
      </c>
      <c r="J8" t="s">
        <v>946</v>
      </c>
      <c r="P8" t="s">
        <v>282</v>
      </c>
    </row>
    <row r="9" spans="1:20" x14ac:dyDescent="0.25">
      <c r="A9" t="s">
        <v>310</v>
      </c>
      <c r="C9">
        <v>6</v>
      </c>
      <c r="D9">
        <v>6</v>
      </c>
      <c r="E9">
        <v>3</v>
      </c>
      <c r="F9">
        <v>3</v>
      </c>
      <c r="G9">
        <v>0</v>
      </c>
      <c r="J9" t="s">
        <v>310</v>
      </c>
      <c r="P9" t="s">
        <v>282</v>
      </c>
    </row>
    <row r="10" spans="1:20" x14ac:dyDescent="0.25">
      <c r="A10" t="s">
        <v>936</v>
      </c>
      <c r="C10">
        <v>5</v>
      </c>
      <c r="D10">
        <v>0</v>
      </c>
      <c r="E10">
        <v>0</v>
      </c>
      <c r="F10">
        <v>0</v>
      </c>
      <c r="G10">
        <v>0</v>
      </c>
      <c r="J10" s="212" t="s">
        <v>936</v>
      </c>
      <c r="P10" t="s">
        <v>282</v>
      </c>
    </row>
    <row r="11" spans="1:20" x14ac:dyDescent="0.25">
      <c r="A11" s="212" t="s">
        <v>306</v>
      </c>
      <c r="J11" t="s">
        <v>306</v>
      </c>
    </row>
    <row r="12" spans="1:20" x14ac:dyDescent="0.25">
      <c r="A12" s="212" t="s">
        <v>307</v>
      </c>
      <c r="J12" t="s">
        <v>307</v>
      </c>
    </row>
    <row r="13" spans="1:20" x14ac:dyDescent="0.25">
      <c r="A13" t="s">
        <v>338</v>
      </c>
      <c r="C13">
        <v>959</v>
      </c>
      <c r="D13">
        <v>384</v>
      </c>
      <c r="E13">
        <v>754</v>
      </c>
      <c r="F13">
        <v>294</v>
      </c>
      <c r="G13">
        <v>55</v>
      </c>
      <c r="J13" t="s">
        <v>338</v>
      </c>
      <c r="K13" s="209">
        <v>2022</v>
      </c>
      <c r="L13" s="209">
        <v>2021</v>
      </c>
      <c r="M13" s="209">
        <v>2020</v>
      </c>
      <c r="N13" s="209">
        <v>2019</v>
      </c>
      <c r="O13" s="209">
        <v>2018</v>
      </c>
      <c r="P13" s="209">
        <v>2017</v>
      </c>
      <c r="Q13" s="209">
        <v>2016</v>
      </c>
      <c r="R13" s="209">
        <v>2015</v>
      </c>
      <c r="S13" s="209">
        <v>2014</v>
      </c>
      <c r="T13" s="209">
        <v>2013</v>
      </c>
    </row>
    <row r="14" spans="1:20" x14ac:dyDescent="0.25">
      <c r="A14" t="s">
        <v>824</v>
      </c>
      <c r="C14">
        <v>1290</v>
      </c>
      <c r="D14">
        <v>2700</v>
      </c>
      <c r="E14">
        <v>3028</v>
      </c>
      <c r="F14">
        <v>3124</v>
      </c>
      <c r="G14">
        <v>0</v>
      </c>
      <c r="J14" t="s">
        <v>824</v>
      </c>
      <c r="P14" t="s">
        <v>282</v>
      </c>
    </row>
    <row r="15" spans="1:20" x14ac:dyDescent="0.25">
      <c r="A15" t="s">
        <v>937</v>
      </c>
      <c r="C15">
        <v>531</v>
      </c>
      <c r="D15">
        <v>267</v>
      </c>
      <c r="E15">
        <v>194</v>
      </c>
      <c r="F15">
        <v>164</v>
      </c>
      <c r="G15">
        <v>0</v>
      </c>
      <c r="J15" t="s">
        <v>937</v>
      </c>
      <c r="K15" s="11">
        <f>SUM(K16:K19)</f>
        <v>1437.25</v>
      </c>
      <c r="L15" s="11">
        <f t="shared" ref="L15:O15" si="0">SUM(L16:L19)</f>
        <v>1381</v>
      </c>
      <c r="M15" s="11">
        <f t="shared" si="0"/>
        <v>1324.75</v>
      </c>
      <c r="N15" s="11">
        <f t="shared" si="0"/>
        <v>1268.5</v>
      </c>
      <c r="O15" s="11">
        <f t="shared" si="0"/>
        <v>1212.25</v>
      </c>
      <c r="P15">
        <f>SUM(P16:P19)</f>
        <v>1156</v>
      </c>
      <c r="Q15">
        <f t="shared" ref="Q15:T15" si="1">SUM(Q16:Q19)</f>
        <v>946</v>
      </c>
      <c r="R15">
        <f t="shared" si="1"/>
        <v>975</v>
      </c>
      <c r="S15">
        <f t="shared" si="1"/>
        <v>981</v>
      </c>
      <c r="T15">
        <f t="shared" si="1"/>
        <v>931</v>
      </c>
    </row>
    <row r="16" spans="1:20" x14ac:dyDescent="0.25">
      <c r="A16" t="s">
        <v>12</v>
      </c>
      <c r="C16">
        <v>188</v>
      </c>
      <c r="D16">
        <v>101</v>
      </c>
      <c r="E16">
        <v>127</v>
      </c>
      <c r="F16">
        <v>90</v>
      </c>
      <c r="G16">
        <v>0</v>
      </c>
      <c r="J16" s="9" t="s">
        <v>225</v>
      </c>
      <c r="K16" s="11">
        <f t="shared" ref="K16:N16" si="2">L16+($P16-$T16)/4</f>
        <v>671</v>
      </c>
      <c r="L16" s="11">
        <f t="shared" si="2"/>
        <v>643</v>
      </c>
      <c r="M16" s="11">
        <f t="shared" si="2"/>
        <v>615</v>
      </c>
      <c r="N16" s="11">
        <f t="shared" si="2"/>
        <v>587</v>
      </c>
      <c r="O16" s="11">
        <f>P16+($P16-$T16)/4</f>
        <v>559</v>
      </c>
      <c r="P16">
        <f>INDEX($C$4:$G$16, MATCH($J$15,$A$4:$A$16, 0), MATCH($J16,$C$1:$G$1,0))</f>
        <v>531</v>
      </c>
      <c r="Q16">
        <f>INDEX($C$19:$G$31, MATCH($J$15,$A$19:$A$31, 0), MATCH($J16,$C$1:$G$1,0))</f>
        <v>427</v>
      </c>
      <c r="R16">
        <f>INDEX($C$34:$G$46, MATCH($J$15,$A$34:$A$46, 0), MATCH($J16,$C$1:$G$1,0))</f>
        <v>445</v>
      </c>
      <c r="S16">
        <f>INDEX($C$68:$G$80, MATCH($J$15,$A$68:$A$80, 0), MATCH($J16,$C$1:$G$1,0))</f>
        <v>468</v>
      </c>
      <c r="T16">
        <f>INDEX($C$83:$G$95, MATCH($J$15,$A$83:$A$95, 0), MATCH($J16,$C$1:$G$1,0))</f>
        <v>419</v>
      </c>
    </row>
    <row r="17" spans="1:20" x14ac:dyDescent="0.25">
      <c r="A17">
        <v>2016</v>
      </c>
      <c r="C17" t="s">
        <v>282</v>
      </c>
      <c r="D17" t="s">
        <v>282</v>
      </c>
      <c r="E17" t="s">
        <v>282</v>
      </c>
      <c r="F17" t="s">
        <v>282</v>
      </c>
      <c r="G17" t="s">
        <v>282</v>
      </c>
      <c r="J17" s="9" t="s">
        <v>263</v>
      </c>
      <c r="K17" s="11">
        <f t="shared" ref="K17:O17" si="3">L17+($P17-$T17)/4</f>
        <v>273.25</v>
      </c>
      <c r="L17" s="11">
        <f t="shared" si="3"/>
        <v>272</v>
      </c>
      <c r="M17" s="11">
        <f t="shared" si="3"/>
        <v>270.75</v>
      </c>
      <c r="N17" s="11">
        <f t="shared" si="3"/>
        <v>269.5</v>
      </c>
      <c r="O17" s="11">
        <f t="shared" si="3"/>
        <v>268.25</v>
      </c>
      <c r="P17">
        <f t="shared" ref="P17:P19" si="4">INDEX($C$4:$G$16, MATCH($J$15,$A$4:$A$16, 0), MATCH($J17,$C$1:$G$1,0))</f>
        <v>267</v>
      </c>
      <c r="Q17">
        <f t="shared" ref="Q17:Q19" si="5">INDEX($C$19:$G$31, MATCH($J$15,$A$19:$A$31, 0), MATCH($J17,$C$1:$G$1,0))</f>
        <v>204</v>
      </c>
      <c r="R17">
        <f t="shared" ref="R17:R19" si="6">INDEX($C$34:$G$46, MATCH($J$15,$A$34:$A$46, 0), MATCH($J17,$C$1:$G$1,0))</f>
        <v>192</v>
      </c>
      <c r="S17">
        <f t="shared" ref="S17:S19" si="7">INDEX($C$68:$G$80, MATCH($J$15,$A$68:$A$80, 0), MATCH($J17,$C$1:$G$1,0))</f>
        <v>209</v>
      </c>
      <c r="T17">
        <f t="shared" ref="T17:T19" si="8">INDEX($C$83:$G$95, MATCH($J$15,$A$83:$A$95, 0), MATCH($J17,$C$1:$G$1,0))</f>
        <v>262</v>
      </c>
    </row>
    <row r="18" spans="1:20" x14ac:dyDescent="0.25">
      <c r="A18" t="s">
        <v>349</v>
      </c>
      <c r="C18">
        <v>5774</v>
      </c>
      <c r="D18">
        <v>6157</v>
      </c>
      <c r="E18">
        <v>3514</v>
      </c>
      <c r="F18">
        <v>2064</v>
      </c>
      <c r="G18" s="2">
        <v>0</v>
      </c>
      <c r="J18" s="9" t="s">
        <v>933</v>
      </c>
      <c r="K18" s="11">
        <f t="shared" ref="K18:O18" si="9">L18+($P18-$T18)/4</f>
        <v>261.5</v>
      </c>
      <c r="L18" s="11">
        <f t="shared" si="9"/>
        <v>248</v>
      </c>
      <c r="M18" s="11">
        <f t="shared" si="9"/>
        <v>234.5</v>
      </c>
      <c r="N18" s="11">
        <f t="shared" si="9"/>
        <v>221</v>
      </c>
      <c r="O18" s="11">
        <f t="shared" si="9"/>
        <v>207.5</v>
      </c>
      <c r="P18">
        <f t="shared" si="4"/>
        <v>194</v>
      </c>
      <c r="Q18">
        <f t="shared" si="5"/>
        <v>176</v>
      </c>
      <c r="R18">
        <f t="shared" si="6"/>
        <v>150</v>
      </c>
      <c r="S18">
        <f t="shared" si="7"/>
        <v>164</v>
      </c>
      <c r="T18">
        <f t="shared" si="8"/>
        <v>140</v>
      </c>
    </row>
    <row r="19" spans="1:20" x14ac:dyDescent="0.25">
      <c r="A19" t="s">
        <v>350</v>
      </c>
      <c r="C19">
        <v>2030</v>
      </c>
      <c r="D19">
        <v>24</v>
      </c>
      <c r="E19">
        <v>1322</v>
      </c>
      <c r="F19">
        <v>1453</v>
      </c>
      <c r="G19" s="108">
        <v>-4829</v>
      </c>
      <c r="J19" s="9" t="s">
        <v>250</v>
      </c>
      <c r="K19" s="11">
        <f t="shared" ref="K19:O19" si="10">L19+($P19-$T19)/4</f>
        <v>231.5</v>
      </c>
      <c r="L19" s="11">
        <f t="shared" si="10"/>
        <v>218</v>
      </c>
      <c r="M19" s="11">
        <f t="shared" si="10"/>
        <v>204.5</v>
      </c>
      <c r="N19" s="11">
        <f t="shared" si="10"/>
        <v>191</v>
      </c>
      <c r="O19" s="11">
        <f t="shared" si="10"/>
        <v>177.5</v>
      </c>
      <c r="P19">
        <f t="shared" si="4"/>
        <v>164</v>
      </c>
      <c r="Q19">
        <f t="shared" si="5"/>
        <v>139</v>
      </c>
      <c r="R19">
        <f t="shared" si="6"/>
        <v>188</v>
      </c>
      <c r="S19">
        <f t="shared" si="7"/>
        <v>140</v>
      </c>
      <c r="T19">
        <f t="shared" si="8"/>
        <v>110</v>
      </c>
    </row>
    <row r="20" spans="1:20" x14ac:dyDescent="0.25">
      <c r="A20" t="s">
        <v>335</v>
      </c>
      <c r="C20">
        <v>7804</v>
      </c>
      <c r="D20">
        <v>6181</v>
      </c>
      <c r="E20">
        <v>4836</v>
      </c>
      <c r="F20">
        <v>3517</v>
      </c>
      <c r="G20" s="108">
        <v>-4829</v>
      </c>
    </row>
    <row r="21" spans="1:20" x14ac:dyDescent="0.25">
      <c r="A21" t="s">
        <v>935</v>
      </c>
      <c r="C21">
        <v>163</v>
      </c>
      <c r="D21">
        <v>116</v>
      </c>
      <c r="E21">
        <v>133</v>
      </c>
      <c r="F21">
        <v>115</v>
      </c>
      <c r="G21">
        <v>0</v>
      </c>
      <c r="J21" t="s">
        <v>12</v>
      </c>
      <c r="K21" s="11">
        <f>SUM(K22:K25)</f>
        <v>617.5</v>
      </c>
      <c r="L21" s="11">
        <f t="shared" ref="L21:O21" si="11">SUM(L22:L25)</f>
        <v>660</v>
      </c>
      <c r="M21" s="11">
        <f t="shared" si="11"/>
        <v>702.5</v>
      </c>
      <c r="N21" s="11">
        <f t="shared" si="11"/>
        <v>745</v>
      </c>
      <c r="O21" s="11">
        <f t="shared" si="11"/>
        <v>745</v>
      </c>
      <c r="P21">
        <f>SUM(P22:P25)</f>
        <v>506</v>
      </c>
      <c r="Q21">
        <f t="shared" ref="Q21:T21" si="12">SUM(Q22:Q25)</f>
        <v>531</v>
      </c>
      <c r="R21">
        <f t="shared" si="12"/>
        <v>744</v>
      </c>
      <c r="S21">
        <f t="shared" si="12"/>
        <v>743</v>
      </c>
      <c r="T21">
        <f t="shared" si="12"/>
        <v>676</v>
      </c>
    </row>
    <row r="22" spans="1:20" x14ac:dyDescent="0.25">
      <c r="A22" t="s">
        <v>291</v>
      </c>
      <c r="C22">
        <v>226</v>
      </c>
      <c r="D22">
        <v>13</v>
      </c>
      <c r="E22">
        <v>208</v>
      </c>
      <c r="F22">
        <v>189</v>
      </c>
      <c r="G22">
        <v>0</v>
      </c>
      <c r="J22" s="9" t="s">
        <v>225</v>
      </c>
      <c r="K22" s="11">
        <f t="shared" ref="K22:M22" si="13">L22+($P22-$T22)/4</f>
        <v>140.74638379942144</v>
      </c>
      <c r="L22" s="11">
        <f t="shared" si="13"/>
        <v>186.74638379942144</v>
      </c>
      <c r="M22" s="11">
        <f t="shared" si="13"/>
        <v>232.74638379942144</v>
      </c>
      <c r="N22" s="11">
        <f>O22</f>
        <v>278.74638379942144</v>
      </c>
      <c r="O22" s="11">
        <f>K35</f>
        <v>278.74638379942144</v>
      </c>
      <c r="P22">
        <f t="array" ref="P22:P25">TRANSPOSE(C16:F16)</f>
        <v>188</v>
      </c>
      <c r="Q22">
        <f t="array" ref="Q22:Q25">TRANSPOSE(C31:F31)</f>
        <v>200</v>
      </c>
      <c r="R22">
        <f t="array" ref="R22:R25">TRANSPOSE(C46:F46)</f>
        <v>345</v>
      </c>
      <c r="S22">
        <f t="array" ref="S22:S25">TRANSPOSE(C80:F80)</f>
        <v>395</v>
      </c>
      <c r="T22">
        <f t="array" ref="T22:T25">TRANSPOSE(C95:F95)</f>
        <v>372</v>
      </c>
    </row>
    <row r="23" spans="1:20" x14ac:dyDescent="0.25">
      <c r="A23" t="s">
        <v>946</v>
      </c>
      <c r="C23">
        <v>148</v>
      </c>
      <c r="D23">
        <v>70</v>
      </c>
      <c r="E23">
        <v>41</v>
      </c>
      <c r="F23">
        <v>42</v>
      </c>
      <c r="G23">
        <v>0</v>
      </c>
      <c r="J23" s="9" t="s">
        <v>263</v>
      </c>
      <c r="K23" s="11">
        <f t="shared" ref="K23:M23" si="14">L23+($P23-$T23)/4</f>
        <v>174.52844744455157</v>
      </c>
      <c r="L23" s="11">
        <f t="shared" si="14"/>
        <v>163.52844744455157</v>
      </c>
      <c r="M23" s="11">
        <f t="shared" si="14"/>
        <v>152.52844744455157</v>
      </c>
      <c r="N23" s="11">
        <f t="shared" ref="N23:N25" si="15">O23</f>
        <v>141.52844744455157</v>
      </c>
      <c r="O23" s="11">
        <f t="shared" ref="O23:O25" si="16">K36</f>
        <v>141.52844744455157</v>
      </c>
      <c r="P23">
        <v>101</v>
      </c>
      <c r="Q23">
        <v>96</v>
      </c>
      <c r="R23">
        <v>125</v>
      </c>
      <c r="S23">
        <v>89</v>
      </c>
      <c r="T23">
        <v>57</v>
      </c>
    </row>
    <row r="24" spans="1:20" x14ac:dyDescent="0.25">
      <c r="A24" t="s">
        <v>310</v>
      </c>
      <c r="C24">
        <v>10</v>
      </c>
      <c r="D24">
        <v>4</v>
      </c>
      <c r="E24">
        <v>4</v>
      </c>
      <c r="F24">
        <v>5</v>
      </c>
      <c r="G24">
        <v>0</v>
      </c>
      <c r="J24" s="9" t="s">
        <v>933</v>
      </c>
      <c r="K24" s="11">
        <f t="shared" ref="K24:M24" si="17">L24+($P24-$T24)/4</f>
        <v>183.47299903567983</v>
      </c>
      <c r="L24" s="11">
        <f t="shared" si="17"/>
        <v>186.97299903567983</v>
      </c>
      <c r="M24" s="11">
        <f t="shared" si="17"/>
        <v>190.47299903567983</v>
      </c>
      <c r="N24" s="11">
        <f t="shared" si="15"/>
        <v>193.97299903567983</v>
      </c>
      <c r="O24" s="11">
        <f t="shared" si="16"/>
        <v>193.97299903567983</v>
      </c>
      <c r="P24">
        <v>127</v>
      </c>
      <c r="Q24">
        <v>143</v>
      </c>
      <c r="R24">
        <v>137</v>
      </c>
      <c r="S24">
        <v>162</v>
      </c>
      <c r="T24">
        <v>141</v>
      </c>
    </row>
    <row r="25" spans="1:20" x14ac:dyDescent="0.25">
      <c r="A25" t="s">
        <v>936</v>
      </c>
      <c r="C25">
        <v>138</v>
      </c>
      <c r="D25">
        <v>0</v>
      </c>
      <c r="E25">
        <v>0</v>
      </c>
      <c r="F25">
        <v>0</v>
      </c>
      <c r="G25">
        <v>0</v>
      </c>
      <c r="J25" s="9" t="s">
        <v>250</v>
      </c>
      <c r="K25" s="11">
        <f t="shared" ref="K25:M25" si="18">L25+($P25-$T25)/4</f>
        <v>118.75216972034715</v>
      </c>
      <c r="L25" s="11">
        <f t="shared" si="18"/>
        <v>122.75216972034715</v>
      </c>
      <c r="M25" s="11">
        <f t="shared" si="18"/>
        <v>126.75216972034715</v>
      </c>
      <c r="N25" s="11">
        <f t="shared" si="15"/>
        <v>130.75216972034715</v>
      </c>
      <c r="O25" s="11">
        <f t="shared" si="16"/>
        <v>130.75216972034715</v>
      </c>
      <c r="P25">
        <v>90</v>
      </c>
      <c r="Q25">
        <v>92</v>
      </c>
      <c r="R25">
        <v>137</v>
      </c>
      <c r="S25">
        <v>97</v>
      </c>
      <c r="T25">
        <v>106</v>
      </c>
    </row>
    <row r="26" spans="1:20" x14ac:dyDescent="0.25">
      <c r="A26" s="212" t="s">
        <v>306</v>
      </c>
      <c r="P26" t="s">
        <v>282</v>
      </c>
    </row>
    <row r="27" spans="1:20" x14ac:dyDescent="0.25">
      <c r="A27" s="212" t="s">
        <v>307</v>
      </c>
    </row>
    <row r="28" spans="1:20" x14ac:dyDescent="0.25">
      <c r="A28" t="s">
        <v>338</v>
      </c>
      <c r="C28">
        <v>686</v>
      </c>
      <c r="D28">
        <v>392</v>
      </c>
      <c r="E28">
        <v>641</v>
      </c>
      <c r="F28">
        <v>263</v>
      </c>
      <c r="G28">
        <v>17</v>
      </c>
      <c r="J28" t="s">
        <v>1006</v>
      </c>
      <c r="K28" t="s">
        <v>1007</v>
      </c>
      <c r="L28" s="209">
        <v>2017</v>
      </c>
      <c r="M28" s="209">
        <v>2016</v>
      </c>
      <c r="N28" s="209">
        <v>2015</v>
      </c>
      <c r="O28" s="209">
        <v>2014</v>
      </c>
      <c r="P28" s="209">
        <v>2013</v>
      </c>
    </row>
    <row r="29" spans="1:20" x14ac:dyDescent="0.25">
      <c r="A29" t="s">
        <v>824</v>
      </c>
      <c r="C29">
        <v>1620</v>
      </c>
      <c r="D29">
        <v>2604</v>
      </c>
      <c r="E29">
        <v>1868</v>
      </c>
      <c r="F29">
        <v>2629</v>
      </c>
      <c r="G29">
        <v>0</v>
      </c>
      <c r="J29" s="9" t="s">
        <v>225</v>
      </c>
      <c r="K29" s="214">
        <f>SUM(P22:Q22)/SUM($P$21:$Q$21)</f>
        <v>0.3741562198649952</v>
      </c>
      <c r="L29" s="214">
        <f t="shared" ref="L29:P32" si="19">P22/P$21</f>
        <v>0.3715415019762846</v>
      </c>
      <c r="M29" s="214">
        <f t="shared" si="19"/>
        <v>0.37664783427495291</v>
      </c>
      <c r="N29" s="214">
        <f t="shared" si="19"/>
        <v>0.46370967741935482</v>
      </c>
      <c r="O29" s="214">
        <f t="shared" si="19"/>
        <v>0.53162853297442803</v>
      </c>
      <c r="P29" s="214">
        <f t="shared" si="19"/>
        <v>0.55029585798816572</v>
      </c>
    </row>
    <row r="30" spans="1:20" x14ac:dyDescent="0.25">
      <c r="A30" t="s">
        <v>937</v>
      </c>
      <c r="C30">
        <v>427</v>
      </c>
      <c r="D30">
        <v>204</v>
      </c>
      <c r="E30">
        <v>176</v>
      </c>
      <c r="F30">
        <v>139</v>
      </c>
      <c r="G30">
        <v>0</v>
      </c>
      <c r="J30" s="9" t="s">
        <v>263</v>
      </c>
      <c r="K30" s="214">
        <f>SUM(P23:Q23)/SUM($P$21:$Q$21)</f>
        <v>0.18997107039537126</v>
      </c>
      <c r="L30" s="214">
        <f t="shared" si="19"/>
        <v>0.19960474308300397</v>
      </c>
      <c r="M30" s="214">
        <f t="shared" si="19"/>
        <v>0.1807909604519774</v>
      </c>
      <c r="N30" s="214">
        <f t="shared" si="19"/>
        <v>0.16801075268817203</v>
      </c>
      <c r="O30" s="214">
        <f t="shared" si="19"/>
        <v>0.11978465679676985</v>
      </c>
      <c r="P30" s="214">
        <f t="shared" si="19"/>
        <v>8.4319526627218935E-2</v>
      </c>
    </row>
    <row r="31" spans="1:20" x14ac:dyDescent="0.25">
      <c r="A31" t="s">
        <v>12</v>
      </c>
      <c r="C31">
        <v>200</v>
      </c>
      <c r="D31">
        <v>96</v>
      </c>
      <c r="E31">
        <v>143</v>
      </c>
      <c r="F31">
        <v>92</v>
      </c>
      <c r="G31">
        <v>0</v>
      </c>
      <c r="J31" s="9" t="s">
        <v>933</v>
      </c>
      <c r="K31" s="214">
        <f>SUM(P24:Q24)/SUM($P$21:$Q$21)</f>
        <v>0.26036644165863065</v>
      </c>
      <c r="L31" s="214">
        <f t="shared" si="19"/>
        <v>0.25098814229249011</v>
      </c>
      <c r="M31" s="214">
        <f t="shared" si="19"/>
        <v>0.26930320150659132</v>
      </c>
      <c r="N31" s="214">
        <f t="shared" si="19"/>
        <v>0.18413978494623656</v>
      </c>
      <c r="O31" s="214">
        <f t="shared" si="19"/>
        <v>0.21803499327052489</v>
      </c>
      <c r="P31" s="214">
        <f t="shared" si="19"/>
        <v>0.20857988165680474</v>
      </c>
    </row>
    <row r="32" spans="1:20" x14ac:dyDescent="0.25">
      <c r="A32">
        <v>2015</v>
      </c>
      <c r="C32" t="s">
        <v>282</v>
      </c>
      <c r="D32" t="s">
        <v>282</v>
      </c>
      <c r="E32" t="s">
        <v>282</v>
      </c>
      <c r="F32" t="s">
        <v>282</v>
      </c>
      <c r="G32" t="s">
        <v>282</v>
      </c>
      <c r="J32" s="9" t="s">
        <v>250</v>
      </c>
      <c r="K32" s="214">
        <f>SUM(P25:Q25)/SUM($P$21:$Q$21)</f>
        <v>0.17550626808100289</v>
      </c>
      <c r="L32" s="214">
        <f t="shared" si="19"/>
        <v>0.17786561264822134</v>
      </c>
      <c r="M32" s="214">
        <f t="shared" si="19"/>
        <v>0.17325800376647835</v>
      </c>
      <c r="N32" s="214">
        <f t="shared" si="19"/>
        <v>0.18413978494623656</v>
      </c>
      <c r="O32" s="214">
        <f t="shared" si="19"/>
        <v>0.13055181695827725</v>
      </c>
      <c r="P32" s="214">
        <f t="shared" si="19"/>
        <v>0.15680473372781065</v>
      </c>
    </row>
    <row r="33" spans="1:16" x14ac:dyDescent="0.25">
      <c r="A33" t="s">
        <v>349</v>
      </c>
      <c r="C33">
        <v>6733</v>
      </c>
      <c r="D33">
        <v>6198</v>
      </c>
      <c r="E33">
        <v>3745</v>
      </c>
      <c r="F33">
        <v>2434</v>
      </c>
      <c r="G33" s="2">
        <v>0</v>
      </c>
    </row>
    <row r="34" spans="1:16" x14ac:dyDescent="0.25">
      <c r="A34" t="s">
        <v>350</v>
      </c>
      <c r="C34">
        <v>1937</v>
      </c>
      <c r="D34">
        <v>31</v>
      </c>
      <c r="E34">
        <v>1427</v>
      </c>
      <c r="F34">
        <v>1633</v>
      </c>
      <c r="G34" s="108">
        <v>-5028</v>
      </c>
      <c r="J34" s="10" t="s">
        <v>1008</v>
      </c>
      <c r="K34" s="11">
        <f>AVERAGE(730, 760)</f>
        <v>745</v>
      </c>
      <c r="P34" t="s">
        <v>282</v>
      </c>
    </row>
    <row r="35" spans="1:16" x14ac:dyDescent="0.25">
      <c r="A35" t="s">
        <v>335</v>
      </c>
      <c r="C35">
        <v>8670</v>
      </c>
      <c r="D35">
        <v>6229</v>
      </c>
      <c r="E35">
        <v>5172</v>
      </c>
      <c r="F35">
        <v>4067</v>
      </c>
      <c r="G35" s="108">
        <v>-5028</v>
      </c>
      <c r="J35" s="9" t="s">
        <v>225</v>
      </c>
      <c r="K35" s="12">
        <f>$K$34*K29</f>
        <v>278.74638379942144</v>
      </c>
      <c r="P35" t="s">
        <v>282</v>
      </c>
    </row>
    <row r="36" spans="1:16" x14ac:dyDescent="0.25">
      <c r="A36" t="s">
        <v>935</v>
      </c>
      <c r="C36">
        <v>187</v>
      </c>
      <c r="D36">
        <v>105</v>
      </c>
      <c r="E36">
        <v>109</v>
      </c>
      <c r="F36">
        <v>110</v>
      </c>
      <c r="G36">
        <v>0</v>
      </c>
      <c r="J36" s="9" t="s">
        <v>263</v>
      </c>
      <c r="K36" s="12">
        <f t="shared" ref="K36:K38" si="20">$K$34*K30</f>
        <v>141.52844744455157</v>
      </c>
    </row>
    <row r="37" spans="1:16" x14ac:dyDescent="0.25">
      <c r="A37" t="s">
        <v>291</v>
      </c>
      <c r="C37">
        <v>263</v>
      </c>
      <c r="D37">
        <v>10</v>
      </c>
      <c r="E37">
        <v>236</v>
      </c>
      <c r="F37">
        <v>226</v>
      </c>
      <c r="G37">
        <v>0</v>
      </c>
      <c r="J37" s="9" t="s">
        <v>933</v>
      </c>
      <c r="K37" s="12">
        <f t="shared" si="20"/>
        <v>193.97299903567983</v>
      </c>
      <c r="P37" t="s">
        <v>282</v>
      </c>
    </row>
    <row r="38" spans="1:16" x14ac:dyDescent="0.25">
      <c r="A38" t="s">
        <v>946</v>
      </c>
      <c r="C38">
        <v>146</v>
      </c>
      <c r="D38">
        <v>78</v>
      </c>
      <c r="E38">
        <v>35</v>
      </c>
      <c r="F38">
        <v>56</v>
      </c>
      <c r="G38">
        <v>0</v>
      </c>
      <c r="J38" s="9" t="s">
        <v>250</v>
      </c>
      <c r="K38" s="12">
        <f t="shared" si="20"/>
        <v>130.75216972034715</v>
      </c>
      <c r="P38" t="s">
        <v>282</v>
      </c>
    </row>
    <row r="39" spans="1:16" x14ac:dyDescent="0.25">
      <c r="A39" t="s">
        <v>310</v>
      </c>
      <c r="C39">
        <v>11</v>
      </c>
      <c r="D39">
        <v>4</v>
      </c>
      <c r="E39">
        <v>4</v>
      </c>
      <c r="F39">
        <v>5</v>
      </c>
      <c r="G39">
        <v>0</v>
      </c>
      <c r="P39" t="s">
        <v>282</v>
      </c>
    </row>
    <row r="40" spans="1:16" x14ac:dyDescent="0.25">
      <c r="A40" t="s">
        <v>936</v>
      </c>
      <c r="C40">
        <v>60</v>
      </c>
      <c r="D40">
        <v>0</v>
      </c>
      <c r="E40">
        <v>0</v>
      </c>
      <c r="F40">
        <v>0</v>
      </c>
      <c r="G40">
        <v>0</v>
      </c>
      <c r="K40">
        <v>2015</v>
      </c>
      <c r="P40" t="s">
        <v>282</v>
      </c>
    </row>
    <row r="41" spans="1:16" x14ac:dyDescent="0.25">
      <c r="A41" t="s">
        <v>306</v>
      </c>
      <c r="C41">
        <v>202</v>
      </c>
      <c r="D41">
        <v>0</v>
      </c>
      <c r="E41">
        <v>9</v>
      </c>
      <c r="F41">
        <v>0</v>
      </c>
      <c r="G41">
        <v>0</v>
      </c>
      <c r="J41" t="s">
        <v>225</v>
      </c>
      <c r="K41">
        <f>SUM(K42:K45)</f>
        <v>744</v>
      </c>
      <c r="L41">
        <f>R21-K41</f>
        <v>0</v>
      </c>
      <c r="P41" t="s">
        <v>282</v>
      </c>
    </row>
    <row r="42" spans="1:16" x14ac:dyDescent="0.25">
      <c r="A42" t="s">
        <v>307</v>
      </c>
      <c r="C42">
        <v>17</v>
      </c>
      <c r="D42">
        <v>23</v>
      </c>
      <c r="E42">
        <v>13</v>
      </c>
      <c r="F42">
        <v>26</v>
      </c>
      <c r="G42">
        <v>11</v>
      </c>
      <c r="J42" t="s">
        <v>263</v>
      </c>
      <c r="K42">
        <f t="array" ref="K42:K45">TRANSPOSE(C65:F65)</f>
        <v>428</v>
      </c>
      <c r="L42">
        <f>R22-K42</f>
        <v>-83</v>
      </c>
      <c r="P42" t="s">
        <v>282</v>
      </c>
    </row>
    <row r="43" spans="1:16" x14ac:dyDescent="0.25">
      <c r="A43" t="s">
        <v>338</v>
      </c>
      <c r="C43">
        <v>636</v>
      </c>
      <c r="D43">
        <v>412</v>
      </c>
      <c r="E43">
        <v>727</v>
      </c>
      <c r="F43">
        <v>335</v>
      </c>
      <c r="G43">
        <v>-20</v>
      </c>
      <c r="J43" t="s">
        <v>933</v>
      </c>
      <c r="K43">
        <v>125</v>
      </c>
      <c r="L43">
        <f>R23-K43</f>
        <v>0</v>
      </c>
      <c r="P43" t="s">
        <v>282</v>
      </c>
    </row>
    <row r="44" spans="1:16" x14ac:dyDescent="0.25">
      <c r="A44" t="s">
        <v>824</v>
      </c>
      <c r="C44">
        <v>2107</v>
      </c>
      <c r="D44">
        <v>2330</v>
      </c>
      <c r="E44">
        <v>1891</v>
      </c>
      <c r="F44">
        <v>2736</v>
      </c>
      <c r="G44">
        <v>0</v>
      </c>
      <c r="J44" t="s">
        <v>250</v>
      </c>
      <c r="K44">
        <v>137</v>
      </c>
      <c r="L44">
        <f>R24-K44</f>
        <v>0</v>
      </c>
      <c r="P44" t="s">
        <v>282</v>
      </c>
    </row>
    <row r="45" spans="1:16" x14ac:dyDescent="0.25">
      <c r="A45" t="s">
        <v>937</v>
      </c>
      <c r="C45">
        <v>445</v>
      </c>
      <c r="D45">
        <v>192</v>
      </c>
      <c r="E45">
        <v>150</v>
      </c>
      <c r="F45">
        <v>188</v>
      </c>
      <c r="G45">
        <v>0</v>
      </c>
      <c r="K45">
        <v>54</v>
      </c>
      <c r="L45">
        <f>R25-K45</f>
        <v>83</v>
      </c>
      <c r="P45" t="s">
        <v>282</v>
      </c>
    </row>
    <row r="46" spans="1:16" x14ac:dyDescent="0.25">
      <c r="A46" t="s">
        <v>12</v>
      </c>
      <c r="C46">
        <v>345</v>
      </c>
      <c r="D46">
        <v>125</v>
      </c>
      <c r="E46">
        <v>137</v>
      </c>
      <c r="F46">
        <v>137</v>
      </c>
      <c r="G46">
        <v>0</v>
      </c>
      <c r="P46" t="s">
        <v>282</v>
      </c>
    </row>
    <row r="47" spans="1:16" x14ac:dyDescent="0.25">
      <c r="P47" t="s">
        <v>282</v>
      </c>
    </row>
    <row r="48" spans="1:16" x14ac:dyDescent="0.25">
      <c r="P48" t="s">
        <v>282</v>
      </c>
    </row>
    <row r="49" spans="1:16" x14ac:dyDescent="0.25">
      <c r="A49" t="s">
        <v>295</v>
      </c>
      <c r="C49" t="s">
        <v>225</v>
      </c>
      <c r="D49" t="s">
        <v>263</v>
      </c>
      <c r="E49" t="s">
        <v>218</v>
      </c>
      <c r="F49" t="s">
        <v>938</v>
      </c>
      <c r="G49" t="s">
        <v>297</v>
      </c>
      <c r="P49" t="s">
        <v>282</v>
      </c>
    </row>
    <row r="50" spans="1:16" x14ac:dyDescent="0.25">
      <c r="A50" t="s">
        <v>282</v>
      </c>
      <c r="C50" t="s">
        <v>282</v>
      </c>
      <c r="D50" t="s">
        <v>282</v>
      </c>
      <c r="E50" t="s">
        <v>282</v>
      </c>
      <c r="F50" t="s">
        <v>282</v>
      </c>
      <c r="G50" t="s">
        <v>939</v>
      </c>
      <c r="P50" t="s">
        <v>282</v>
      </c>
    </row>
    <row r="51" spans="1:16" x14ac:dyDescent="0.25">
      <c r="A51">
        <v>2015</v>
      </c>
      <c r="C51" t="s">
        <v>282</v>
      </c>
      <c r="D51" t="s">
        <v>282</v>
      </c>
      <c r="E51" t="s">
        <v>282</v>
      </c>
      <c r="F51" t="s">
        <v>282</v>
      </c>
      <c r="G51" t="s">
        <v>282</v>
      </c>
    </row>
    <row r="52" spans="1:16" x14ac:dyDescent="0.25">
      <c r="A52" t="s">
        <v>349</v>
      </c>
      <c r="C52">
        <v>7540</v>
      </c>
      <c r="D52">
        <v>6198</v>
      </c>
      <c r="E52">
        <v>3745</v>
      </c>
      <c r="F52">
        <v>1627</v>
      </c>
      <c r="G52" s="2">
        <v>0</v>
      </c>
    </row>
    <row r="53" spans="1:16" x14ac:dyDescent="0.25">
      <c r="A53" t="s">
        <v>350</v>
      </c>
      <c r="C53">
        <v>2909</v>
      </c>
      <c r="D53">
        <v>31</v>
      </c>
      <c r="E53">
        <v>1427</v>
      </c>
      <c r="F53">
        <v>1113</v>
      </c>
      <c r="G53">
        <v>-5480</v>
      </c>
    </row>
    <row r="54" spans="1:16" x14ac:dyDescent="0.25">
      <c r="A54" t="s">
        <v>335</v>
      </c>
      <c r="C54">
        <v>10449</v>
      </c>
      <c r="D54">
        <v>6229</v>
      </c>
      <c r="E54">
        <v>5172</v>
      </c>
      <c r="F54">
        <v>2740</v>
      </c>
      <c r="G54">
        <v>-5480</v>
      </c>
    </row>
    <row r="55" spans="1:16" x14ac:dyDescent="0.25">
      <c r="A55" t="s">
        <v>935</v>
      </c>
      <c r="C55">
        <v>239</v>
      </c>
      <c r="D55">
        <v>105</v>
      </c>
      <c r="E55">
        <v>109</v>
      </c>
      <c r="F55">
        <v>58</v>
      </c>
      <c r="G55">
        <v>0</v>
      </c>
    </row>
    <row r="56" spans="1:16" x14ac:dyDescent="0.25">
      <c r="A56" t="s">
        <v>291</v>
      </c>
      <c r="C56">
        <v>428</v>
      </c>
      <c r="D56">
        <v>10</v>
      </c>
      <c r="E56">
        <v>236</v>
      </c>
      <c r="F56">
        <v>61</v>
      </c>
      <c r="G56">
        <v>0</v>
      </c>
    </row>
    <row r="57" spans="1:16" x14ac:dyDescent="0.25">
      <c r="A57" t="s">
        <v>946</v>
      </c>
      <c r="C57">
        <v>171</v>
      </c>
      <c r="D57">
        <v>78</v>
      </c>
      <c r="E57">
        <v>35</v>
      </c>
      <c r="F57">
        <v>31</v>
      </c>
      <c r="G57">
        <v>0</v>
      </c>
    </row>
    <row r="58" spans="1:16" x14ac:dyDescent="0.25">
      <c r="A58" t="s">
        <v>310</v>
      </c>
      <c r="C58">
        <v>13</v>
      </c>
      <c r="D58">
        <v>4</v>
      </c>
      <c r="E58">
        <v>4</v>
      </c>
      <c r="F58">
        <v>3</v>
      </c>
      <c r="G58">
        <v>0</v>
      </c>
    </row>
    <row r="59" spans="1:16" x14ac:dyDescent="0.25">
      <c r="A59" s="212" t="s">
        <v>936</v>
      </c>
    </row>
    <row r="60" spans="1:16" x14ac:dyDescent="0.25">
      <c r="A60" t="s">
        <v>306</v>
      </c>
      <c r="C60">
        <v>202</v>
      </c>
      <c r="D60">
        <v>0</v>
      </c>
      <c r="E60">
        <v>9</v>
      </c>
      <c r="F60">
        <v>0</v>
      </c>
      <c r="G60">
        <v>0</v>
      </c>
    </row>
    <row r="61" spans="1:16" x14ac:dyDescent="0.25">
      <c r="A61" t="s">
        <v>307</v>
      </c>
      <c r="C61">
        <v>26</v>
      </c>
      <c r="D61">
        <v>23</v>
      </c>
      <c r="E61">
        <v>13</v>
      </c>
      <c r="F61">
        <v>19</v>
      </c>
      <c r="G61">
        <v>9</v>
      </c>
    </row>
    <row r="62" spans="1:16" x14ac:dyDescent="0.25">
      <c r="A62" t="s">
        <v>338</v>
      </c>
      <c r="C62">
        <v>807</v>
      </c>
      <c r="D62">
        <v>412</v>
      </c>
      <c r="E62">
        <v>727</v>
      </c>
      <c r="F62">
        <v>156</v>
      </c>
      <c r="G62">
        <v>-12</v>
      </c>
    </row>
    <row r="63" spans="1:16" x14ac:dyDescent="0.25">
      <c r="A63" t="s">
        <v>824</v>
      </c>
      <c r="C63">
        <v>3238</v>
      </c>
      <c r="D63">
        <v>2330</v>
      </c>
      <c r="E63">
        <v>1891</v>
      </c>
      <c r="F63">
        <v>1605</v>
      </c>
      <c r="G63">
        <v>0</v>
      </c>
    </row>
    <row r="64" spans="1:16" x14ac:dyDescent="0.25">
      <c r="A64" t="s">
        <v>937</v>
      </c>
      <c r="C64">
        <v>491</v>
      </c>
      <c r="D64">
        <v>192</v>
      </c>
      <c r="E64">
        <v>150</v>
      </c>
      <c r="F64">
        <v>142</v>
      </c>
      <c r="G64">
        <v>0</v>
      </c>
    </row>
    <row r="65" spans="1:7" x14ac:dyDescent="0.25">
      <c r="A65" t="s">
        <v>12</v>
      </c>
      <c r="C65">
        <v>428</v>
      </c>
      <c r="D65">
        <v>125</v>
      </c>
      <c r="E65">
        <v>137</v>
      </c>
      <c r="F65">
        <v>54</v>
      </c>
      <c r="G65">
        <v>0</v>
      </c>
    </row>
    <row r="66" spans="1:7" x14ac:dyDescent="0.25">
      <c r="A66">
        <v>2014</v>
      </c>
      <c r="C66" t="s">
        <v>282</v>
      </c>
      <c r="D66" t="s">
        <v>282</v>
      </c>
      <c r="E66" t="s">
        <v>282</v>
      </c>
      <c r="F66" t="s">
        <v>282</v>
      </c>
      <c r="G66" t="s">
        <v>282</v>
      </c>
    </row>
    <row r="67" spans="1:7" x14ac:dyDescent="0.25">
      <c r="A67" t="s">
        <v>349</v>
      </c>
      <c r="C67">
        <v>8437</v>
      </c>
      <c r="D67">
        <v>5135</v>
      </c>
      <c r="E67">
        <v>3791</v>
      </c>
      <c r="F67">
        <v>1858</v>
      </c>
      <c r="G67" s="2">
        <v>0</v>
      </c>
    </row>
    <row r="68" spans="1:7" x14ac:dyDescent="0.25">
      <c r="A68" t="s">
        <v>350</v>
      </c>
      <c r="C68">
        <v>2525</v>
      </c>
      <c r="D68">
        <v>39</v>
      </c>
      <c r="E68">
        <v>1327</v>
      </c>
      <c r="F68">
        <v>1038</v>
      </c>
      <c r="G68">
        <v>-4929</v>
      </c>
    </row>
    <row r="69" spans="1:7" x14ac:dyDescent="0.25">
      <c r="A69" t="s">
        <v>335</v>
      </c>
      <c r="C69">
        <v>10962</v>
      </c>
      <c r="D69">
        <v>5174</v>
      </c>
      <c r="E69">
        <v>5118</v>
      </c>
      <c r="F69">
        <v>2896</v>
      </c>
      <c r="G69">
        <v>-4929</v>
      </c>
    </row>
    <row r="70" spans="1:7" x14ac:dyDescent="0.25">
      <c r="A70" t="s">
        <v>935</v>
      </c>
      <c r="C70">
        <v>207</v>
      </c>
      <c r="D70">
        <v>86</v>
      </c>
      <c r="E70">
        <v>106</v>
      </c>
      <c r="F70">
        <v>53</v>
      </c>
      <c r="G70">
        <v>0</v>
      </c>
    </row>
    <row r="71" spans="1:7" x14ac:dyDescent="0.25">
      <c r="A71" t="s">
        <v>291</v>
      </c>
      <c r="C71">
        <v>438</v>
      </c>
      <c r="D71">
        <v>9</v>
      </c>
      <c r="E71">
        <v>230</v>
      </c>
      <c r="F71">
        <v>77</v>
      </c>
      <c r="G71">
        <v>0</v>
      </c>
    </row>
    <row r="72" spans="1:7" x14ac:dyDescent="0.25">
      <c r="A72" t="s">
        <v>946</v>
      </c>
      <c r="C72">
        <v>147</v>
      </c>
      <c r="D72">
        <v>148</v>
      </c>
      <c r="E72">
        <v>36</v>
      </c>
      <c r="F72">
        <v>39</v>
      </c>
      <c r="G72">
        <v>0</v>
      </c>
    </row>
    <row r="73" spans="1:7" x14ac:dyDescent="0.25">
      <c r="A73" t="s">
        <v>310</v>
      </c>
      <c r="C73">
        <v>12</v>
      </c>
      <c r="D73">
        <v>4</v>
      </c>
      <c r="E73">
        <v>4</v>
      </c>
      <c r="F73">
        <v>3</v>
      </c>
      <c r="G73">
        <v>0</v>
      </c>
    </row>
    <row r="74" spans="1:7" x14ac:dyDescent="0.25">
      <c r="A74" s="212" t="s">
        <v>936</v>
      </c>
    </row>
    <row r="75" spans="1:7" x14ac:dyDescent="0.25">
      <c r="A75" t="s">
        <v>306</v>
      </c>
    </row>
    <row r="76" spans="1:7" x14ac:dyDescent="0.25">
      <c r="A76" t="s">
        <v>307</v>
      </c>
    </row>
    <row r="77" spans="1:7" x14ac:dyDescent="0.25">
      <c r="A77" t="s">
        <v>338</v>
      </c>
      <c r="C77">
        <v>1225</v>
      </c>
      <c r="D77">
        <v>491</v>
      </c>
      <c r="E77">
        <v>684</v>
      </c>
      <c r="F77">
        <v>168</v>
      </c>
      <c r="G77">
        <v>-70</v>
      </c>
    </row>
    <row r="78" spans="1:7" x14ac:dyDescent="0.25">
      <c r="A78" t="s">
        <v>824</v>
      </c>
      <c r="C78">
        <v>3450</v>
      </c>
      <c r="D78">
        <v>2441</v>
      </c>
      <c r="E78">
        <v>2152</v>
      </c>
      <c r="F78">
        <v>1694</v>
      </c>
      <c r="G78">
        <v>0</v>
      </c>
    </row>
    <row r="79" spans="1:7" x14ac:dyDescent="0.25">
      <c r="A79" t="s">
        <v>937</v>
      </c>
      <c r="C79">
        <v>468</v>
      </c>
      <c r="D79">
        <v>209</v>
      </c>
      <c r="E79">
        <v>164</v>
      </c>
      <c r="F79">
        <v>140</v>
      </c>
      <c r="G79">
        <v>0</v>
      </c>
    </row>
    <row r="80" spans="1:7" x14ac:dyDescent="0.25">
      <c r="A80" t="s">
        <v>12</v>
      </c>
      <c r="C80">
        <v>395</v>
      </c>
      <c r="D80">
        <v>89</v>
      </c>
      <c r="E80">
        <v>162</v>
      </c>
      <c r="F80">
        <v>97</v>
      </c>
      <c r="G80">
        <v>0</v>
      </c>
    </row>
    <row r="81" spans="1:7" x14ac:dyDescent="0.25">
      <c r="A81">
        <v>2013</v>
      </c>
      <c r="C81" t="s">
        <v>282</v>
      </c>
      <c r="D81" t="s">
        <v>282</v>
      </c>
      <c r="E81" t="s">
        <v>282</v>
      </c>
      <c r="F81" t="s">
        <v>282</v>
      </c>
      <c r="G81" t="s">
        <v>282</v>
      </c>
    </row>
    <row r="82" spans="1:7" x14ac:dyDescent="0.25">
      <c r="A82" t="s">
        <v>349</v>
      </c>
      <c r="C82">
        <v>8270</v>
      </c>
      <c r="D82">
        <v>3726</v>
      </c>
      <c r="E82">
        <v>3151</v>
      </c>
      <c r="F82">
        <v>2154</v>
      </c>
      <c r="G82" s="2">
        <v>0</v>
      </c>
    </row>
    <row r="83" spans="1:7" x14ac:dyDescent="0.25">
      <c r="A83" t="s">
        <v>350</v>
      </c>
      <c r="C83">
        <v>1743</v>
      </c>
      <c r="D83">
        <v>23</v>
      </c>
      <c r="E83">
        <v>1191</v>
      </c>
      <c r="F83">
        <v>877</v>
      </c>
      <c r="G83">
        <v>-3834</v>
      </c>
    </row>
    <row r="84" spans="1:7" x14ac:dyDescent="0.25">
      <c r="A84" t="s">
        <v>335</v>
      </c>
      <c r="C84">
        <v>10013</v>
      </c>
      <c r="D84">
        <v>3749</v>
      </c>
      <c r="E84">
        <v>4342</v>
      </c>
      <c r="F84">
        <v>3031</v>
      </c>
      <c r="G84">
        <v>-3834</v>
      </c>
    </row>
    <row r="85" spans="1:7" x14ac:dyDescent="0.25">
      <c r="A85" t="s">
        <v>935</v>
      </c>
      <c r="C85">
        <v>205</v>
      </c>
      <c r="D85">
        <v>54</v>
      </c>
      <c r="E85">
        <v>96</v>
      </c>
      <c r="F85">
        <v>50</v>
      </c>
      <c r="G85">
        <v>0</v>
      </c>
    </row>
    <row r="86" spans="1:7" x14ac:dyDescent="0.25">
      <c r="A86" t="s">
        <v>291</v>
      </c>
      <c r="C86">
        <v>416</v>
      </c>
      <c r="D86">
        <v>6</v>
      </c>
      <c r="E86">
        <v>218</v>
      </c>
      <c r="F86">
        <v>73</v>
      </c>
      <c r="G86">
        <v>0</v>
      </c>
    </row>
    <row r="87" spans="1:7" x14ac:dyDescent="0.25">
      <c r="A87" t="s">
        <v>946</v>
      </c>
      <c r="C87">
        <v>136</v>
      </c>
      <c r="D87">
        <v>165</v>
      </c>
      <c r="E87">
        <v>28</v>
      </c>
      <c r="F87">
        <v>32</v>
      </c>
      <c r="G87">
        <v>0</v>
      </c>
    </row>
    <row r="88" spans="1:7" x14ac:dyDescent="0.25">
      <c r="A88" t="s">
        <v>310</v>
      </c>
      <c r="C88">
        <v>16</v>
      </c>
      <c r="D88">
        <v>2</v>
      </c>
      <c r="E88">
        <v>3</v>
      </c>
      <c r="F88">
        <v>6</v>
      </c>
      <c r="G88">
        <v>0</v>
      </c>
    </row>
    <row r="89" spans="1:7" x14ac:dyDescent="0.25">
      <c r="A89" s="212" t="s">
        <v>936</v>
      </c>
    </row>
    <row r="90" spans="1:7" x14ac:dyDescent="0.25">
      <c r="A90" t="s">
        <v>306</v>
      </c>
    </row>
    <row r="91" spans="1:7" x14ac:dyDescent="0.25">
      <c r="A91" t="s">
        <v>307</v>
      </c>
    </row>
    <row r="92" spans="1:7" x14ac:dyDescent="0.25">
      <c r="A92" t="s">
        <v>338</v>
      </c>
      <c r="C92">
        <v>1041</v>
      </c>
      <c r="D92">
        <v>388</v>
      </c>
      <c r="E92">
        <v>527</v>
      </c>
      <c r="F92">
        <v>218</v>
      </c>
      <c r="G92">
        <v>-14</v>
      </c>
    </row>
    <row r="93" spans="1:7" x14ac:dyDescent="0.25">
      <c r="A93" t="s">
        <v>824</v>
      </c>
      <c r="C93">
        <v>4323</v>
      </c>
      <c r="D93">
        <v>1637</v>
      </c>
      <c r="E93">
        <v>1885</v>
      </c>
      <c r="F93">
        <v>1801</v>
      </c>
      <c r="G93">
        <v>0</v>
      </c>
    </row>
    <row r="94" spans="1:7" x14ac:dyDescent="0.25">
      <c r="A94" t="s">
        <v>937</v>
      </c>
      <c r="C94">
        <v>419</v>
      </c>
      <c r="D94">
        <v>262</v>
      </c>
      <c r="E94">
        <v>140</v>
      </c>
      <c r="F94">
        <v>110</v>
      </c>
      <c r="G94">
        <v>0</v>
      </c>
    </row>
    <row r="95" spans="1:7" x14ac:dyDescent="0.25">
      <c r="A95" t="s">
        <v>12</v>
      </c>
      <c r="C95">
        <v>372</v>
      </c>
      <c r="D95">
        <v>57</v>
      </c>
      <c r="E95">
        <v>141</v>
      </c>
      <c r="F95">
        <v>106</v>
      </c>
      <c r="G95">
        <v>0</v>
      </c>
    </row>
  </sheetData>
  <pageMargins left="0.7" right="0.7" top="0.75" bottom="0.75" header="0.3" footer="0.3"/>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073C8-D707-4CBB-8748-7E777363D14D}">
  <sheetPr codeName="Sheet29">
    <tabColor theme="8" tint="0.39997558519241921"/>
  </sheetPr>
  <dimension ref="B1:AA78"/>
  <sheetViews>
    <sheetView zoomScale="80" zoomScaleNormal="80" workbookViewId="0"/>
  </sheetViews>
  <sheetFormatPr defaultRowHeight="15" x14ac:dyDescent="0.25"/>
  <cols>
    <col min="2" max="2" width="36.85546875" bestFit="1" customWidth="1"/>
    <col min="3" max="3" width="10.85546875" bestFit="1" customWidth="1"/>
    <col min="4" max="4" width="14.140625" bestFit="1" customWidth="1"/>
    <col min="5" max="5" width="13.85546875" bestFit="1" customWidth="1"/>
    <col min="6" max="6" width="11.5703125" bestFit="1" customWidth="1"/>
    <col min="7" max="7" width="13.42578125" bestFit="1" customWidth="1"/>
    <col min="8" max="8" width="10" bestFit="1" customWidth="1"/>
    <col min="9" max="9" width="10.140625" bestFit="1" customWidth="1"/>
    <col min="11" max="11" width="10.42578125" bestFit="1" customWidth="1"/>
    <col min="12" max="12" width="12.85546875" bestFit="1" customWidth="1"/>
    <col min="16" max="16" width="34.42578125" bestFit="1" customWidth="1"/>
    <col min="17" max="17" width="10.140625" bestFit="1" customWidth="1"/>
    <col min="18" max="18" width="9.42578125" bestFit="1" customWidth="1"/>
    <col min="19" max="19" width="9.28515625" bestFit="1" customWidth="1"/>
    <col min="20" max="21" width="8.5703125" bestFit="1" customWidth="1"/>
    <col min="22" max="22" width="7.85546875" bestFit="1" customWidth="1"/>
    <col min="23" max="25" width="8.42578125" bestFit="1" customWidth="1"/>
  </cols>
  <sheetData>
    <row r="1" spans="2:27" ht="75" x14ac:dyDescent="0.25">
      <c r="B1" t="s">
        <v>865</v>
      </c>
      <c r="C1" s="222" t="s">
        <v>866</v>
      </c>
      <c r="D1" s="222" t="s">
        <v>867</v>
      </c>
      <c r="E1" s="222" t="s">
        <v>868</v>
      </c>
      <c r="F1" s="222" t="s">
        <v>869</v>
      </c>
      <c r="G1" s="222" t="s">
        <v>870</v>
      </c>
      <c r="H1" s="222" t="s">
        <v>884</v>
      </c>
      <c r="I1" s="222" t="s">
        <v>883</v>
      </c>
      <c r="J1" s="222" t="s">
        <v>871</v>
      </c>
      <c r="K1" s="222" t="s">
        <v>882</v>
      </c>
      <c r="L1" s="222" t="s">
        <v>872</v>
      </c>
      <c r="N1" s="221" t="s">
        <v>886</v>
      </c>
      <c r="P1" s="90"/>
      <c r="Q1" s="226"/>
      <c r="R1" s="226"/>
      <c r="S1" s="226"/>
      <c r="T1" s="226"/>
      <c r="U1" s="226"/>
      <c r="V1" s="226"/>
      <c r="W1" s="226"/>
      <c r="X1" s="226"/>
      <c r="Y1" s="226"/>
      <c r="Z1" s="226"/>
      <c r="AA1" s="88"/>
    </row>
    <row r="2" spans="2:27" x14ac:dyDescent="0.25">
      <c r="B2" s="209">
        <v>2017</v>
      </c>
      <c r="C2" s="211" t="s">
        <v>282</v>
      </c>
      <c r="D2" s="211" t="s">
        <v>282</v>
      </c>
      <c r="E2" s="211" t="s">
        <v>282</v>
      </c>
      <c r="F2" s="211" t="s">
        <v>282</v>
      </c>
      <c r="G2" s="211" t="s">
        <v>282</v>
      </c>
      <c r="H2" s="211" t="s">
        <v>282</v>
      </c>
      <c r="I2" s="211" t="s">
        <v>282</v>
      </c>
      <c r="J2" s="211" t="s">
        <v>282</v>
      </c>
      <c r="K2" s="211" t="s">
        <v>282</v>
      </c>
      <c r="L2" s="211" t="s">
        <v>282</v>
      </c>
      <c r="N2" s="211"/>
      <c r="P2" s="91"/>
      <c r="Q2" s="89"/>
      <c r="R2" s="89"/>
      <c r="S2" s="89"/>
      <c r="T2" s="89"/>
      <c r="U2" s="89"/>
      <c r="V2" s="89"/>
      <c r="W2" s="89"/>
      <c r="X2" s="89"/>
      <c r="Y2" s="89"/>
      <c r="Z2" s="89"/>
      <c r="AA2" s="88"/>
    </row>
    <row r="3" spans="2:27" x14ac:dyDescent="0.25">
      <c r="B3" t="s">
        <v>873</v>
      </c>
      <c r="C3" s="223">
        <v>43040</v>
      </c>
      <c r="D3" s="65">
        <v>1</v>
      </c>
      <c r="E3" s="211">
        <v>62</v>
      </c>
      <c r="F3" s="211">
        <v>0</v>
      </c>
      <c r="G3" s="211">
        <v>68</v>
      </c>
      <c r="H3" s="211" t="s">
        <v>874</v>
      </c>
      <c r="I3" s="216">
        <v>0</v>
      </c>
      <c r="J3" s="216">
        <v>47</v>
      </c>
      <c r="K3" s="216">
        <v>23</v>
      </c>
      <c r="L3" s="216">
        <v>4</v>
      </c>
      <c r="M3" s="216">
        <f t="shared" ref="M3:M4" si="0">L3*D3</f>
        <v>4</v>
      </c>
      <c r="N3" s="211"/>
      <c r="P3" s="90"/>
      <c r="Q3" s="90"/>
      <c r="R3" s="90"/>
      <c r="S3" s="93"/>
      <c r="T3" s="93"/>
      <c r="U3" s="93"/>
      <c r="V3" s="90"/>
      <c r="W3" s="93"/>
      <c r="X3" s="93"/>
      <c r="Y3" s="93"/>
      <c r="Z3" s="93"/>
      <c r="AA3" s="88"/>
    </row>
    <row r="4" spans="2:27" x14ac:dyDescent="0.25">
      <c r="B4" t="s">
        <v>881</v>
      </c>
      <c r="C4" s="223">
        <v>42947</v>
      </c>
      <c r="D4" s="65">
        <v>0.5</v>
      </c>
      <c r="E4" s="211">
        <v>600</v>
      </c>
      <c r="F4" s="211">
        <v>0</v>
      </c>
      <c r="G4" s="211">
        <v>600</v>
      </c>
      <c r="H4" s="211" t="s">
        <v>874</v>
      </c>
      <c r="I4" s="216">
        <v>0</v>
      </c>
      <c r="J4" s="216">
        <v>544</v>
      </c>
      <c r="K4" s="216">
        <v>596</v>
      </c>
      <c r="L4" s="216">
        <v>0</v>
      </c>
      <c r="M4" s="216">
        <f t="shared" si="0"/>
        <v>0</v>
      </c>
      <c r="N4" s="211">
        <v>4</v>
      </c>
      <c r="P4" s="90"/>
      <c r="Q4" s="90"/>
      <c r="R4" s="90"/>
      <c r="S4" s="94"/>
      <c r="T4" s="94"/>
      <c r="U4" s="94"/>
      <c r="V4" s="90"/>
      <c r="W4" s="94"/>
      <c r="X4" s="94"/>
      <c r="Y4" s="94"/>
      <c r="Z4" s="94"/>
      <c r="AA4" s="88"/>
    </row>
    <row r="5" spans="2:27" x14ac:dyDescent="0.25">
      <c r="B5" s="209">
        <v>2016</v>
      </c>
      <c r="C5" s="211"/>
      <c r="D5" s="211"/>
      <c r="E5" s="211"/>
      <c r="F5" s="211"/>
      <c r="G5" s="211"/>
      <c r="H5" s="211"/>
      <c r="I5" s="216"/>
      <c r="J5" s="216"/>
      <c r="K5" s="216"/>
      <c r="L5" s="216"/>
      <c r="M5" s="216"/>
      <c r="N5" s="211"/>
      <c r="AA5" s="88"/>
    </row>
    <row r="6" spans="2:27" x14ac:dyDescent="0.25">
      <c r="B6" t="s">
        <v>875</v>
      </c>
      <c r="C6" s="223">
        <v>42709</v>
      </c>
      <c r="D6" s="65">
        <v>0.45</v>
      </c>
      <c r="E6" s="211">
        <v>86</v>
      </c>
      <c r="F6" s="211">
        <v>0</v>
      </c>
      <c r="G6" s="211">
        <v>86</v>
      </c>
      <c r="H6" s="211" t="s">
        <v>432</v>
      </c>
      <c r="I6" s="216">
        <v>0</v>
      </c>
      <c r="J6" s="216">
        <v>0</v>
      </c>
      <c r="K6" s="216">
        <v>0</v>
      </c>
      <c r="L6" s="216">
        <v>0</v>
      </c>
      <c r="M6" s="216">
        <f t="shared" ref="M6:M8" si="1">L6*D6</f>
        <v>0</v>
      </c>
      <c r="N6" s="211" t="s">
        <v>282</v>
      </c>
      <c r="AA6" s="88"/>
    </row>
    <row r="7" spans="2:27" x14ac:dyDescent="0.25">
      <c r="B7" t="s">
        <v>876</v>
      </c>
      <c r="C7" s="223">
        <v>42647</v>
      </c>
      <c r="D7" s="65">
        <v>0.5</v>
      </c>
      <c r="E7" s="211">
        <v>32</v>
      </c>
      <c r="F7" s="211">
        <v>67</v>
      </c>
      <c r="G7" s="211">
        <v>99</v>
      </c>
      <c r="H7" s="211" t="s">
        <v>874</v>
      </c>
      <c r="I7" s="216">
        <v>15</v>
      </c>
      <c r="J7" s="216">
        <v>4</v>
      </c>
      <c r="K7" s="216">
        <v>8</v>
      </c>
      <c r="L7" s="216">
        <v>391</v>
      </c>
      <c r="M7" s="216">
        <f t="shared" si="1"/>
        <v>195.5</v>
      </c>
      <c r="N7" s="211">
        <v>5</v>
      </c>
      <c r="AA7" s="88"/>
    </row>
    <row r="8" spans="2:27" x14ac:dyDescent="0.25">
      <c r="B8" t="s">
        <v>877</v>
      </c>
      <c r="C8" s="223">
        <v>42370</v>
      </c>
      <c r="D8" s="65">
        <v>0.35</v>
      </c>
      <c r="E8" s="211">
        <v>12</v>
      </c>
      <c r="F8" s="211">
        <v>0</v>
      </c>
      <c r="G8" s="211">
        <v>12</v>
      </c>
      <c r="H8" s="211" t="s">
        <v>432</v>
      </c>
      <c r="I8" s="216">
        <v>0</v>
      </c>
      <c r="J8" s="216">
        <v>0</v>
      </c>
      <c r="K8" s="216">
        <v>0</v>
      </c>
      <c r="L8" s="216">
        <v>0</v>
      </c>
      <c r="M8" s="216">
        <f t="shared" si="1"/>
        <v>0</v>
      </c>
      <c r="N8" s="211" t="s">
        <v>282</v>
      </c>
      <c r="AA8" s="88"/>
    </row>
    <row r="9" spans="2:27" x14ac:dyDescent="0.25">
      <c r="B9" s="209">
        <v>2015</v>
      </c>
      <c r="C9" s="211"/>
      <c r="D9" s="211"/>
      <c r="E9" s="211"/>
      <c r="F9" s="211"/>
      <c r="G9" s="211"/>
      <c r="H9" s="211"/>
      <c r="I9" s="216"/>
      <c r="J9" s="216"/>
      <c r="K9" s="216"/>
      <c r="L9" s="216"/>
      <c r="M9" s="216"/>
      <c r="N9" s="211"/>
      <c r="AA9" s="88"/>
    </row>
    <row r="10" spans="2:27" x14ac:dyDescent="0.25">
      <c r="B10" t="s">
        <v>878</v>
      </c>
      <c r="C10" s="223">
        <v>42219</v>
      </c>
      <c r="D10" s="65">
        <v>0.5</v>
      </c>
      <c r="E10" s="211">
        <v>29</v>
      </c>
      <c r="F10" s="211">
        <v>36</v>
      </c>
      <c r="G10" s="211">
        <v>65</v>
      </c>
      <c r="H10" s="211" t="s">
        <v>874</v>
      </c>
      <c r="I10" s="216">
        <v>10</v>
      </c>
      <c r="J10" s="216">
        <v>7</v>
      </c>
      <c r="K10" s="216">
        <v>2</v>
      </c>
      <c r="L10" s="216">
        <v>258</v>
      </c>
      <c r="M10" s="216">
        <f t="shared" ref="M10:M12" si="2">L10*D10</f>
        <v>129</v>
      </c>
      <c r="N10" s="211">
        <v>5</v>
      </c>
      <c r="AA10" s="88"/>
    </row>
    <row r="11" spans="2:27" x14ac:dyDescent="0.25">
      <c r="B11" t="s">
        <v>879</v>
      </c>
      <c r="C11" s="223">
        <v>42219</v>
      </c>
      <c r="D11" s="65">
        <v>0.51</v>
      </c>
      <c r="E11" s="211">
        <v>21</v>
      </c>
      <c r="F11" s="211">
        <v>28</v>
      </c>
      <c r="G11" s="211">
        <v>49</v>
      </c>
      <c r="H11" s="211" t="s">
        <v>874</v>
      </c>
      <c r="I11" s="216">
        <v>8</v>
      </c>
      <c r="J11" s="216">
        <v>5</v>
      </c>
      <c r="K11" s="216">
        <v>6</v>
      </c>
      <c r="L11" s="216">
        <v>245</v>
      </c>
      <c r="M11" s="216">
        <f t="shared" si="2"/>
        <v>124.95</v>
      </c>
      <c r="N11" s="211">
        <v>5</v>
      </c>
      <c r="AA11" s="88"/>
    </row>
    <row r="12" spans="2:27" x14ac:dyDescent="0.25">
      <c r="B12" t="s">
        <v>880</v>
      </c>
      <c r="C12" s="223">
        <v>42184</v>
      </c>
      <c r="D12" s="87">
        <v>0.2001</v>
      </c>
      <c r="E12" s="211">
        <v>8</v>
      </c>
      <c r="F12" s="211">
        <v>0</v>
      </c>
      <c r="G12" s="211">
        <v>8</v>
      </c>
      <c r="H12" s="211" t="s">
        <v>432</v>
      </c>
      <c r="I12" s="216">
        <v>0</v>
      </c>
      <c r="J12" s="216">
        <v>0</v>
      </c>
      <c r="K12" s="216">
        <v>0</v>
      </c>
      <c r="L12" s="216">
        <v>0</v>
      </c>
      <c r="M12" s="216">
        <f t="shared" si="2"/>
        <v>0</v>
      </c>
      <c r="N12" s="211"/>
      <c r="AA12" s="88"/>
    </row>
    <row r="13" spans="2:27" x14ac:dyDescent="0.25">
      <c r="B13" s="235">
        <v>2014</v>
      </c>
      <c r="C13" s="89" t="s">
        <v>282</v>
      </c>
      <c r="D13" s="89" t="s">
        <v>282</v>
      </c>
      <c r="E13" s="89" t="s">
        <v>282</v>
      </c>
      <c r="F13" s="89" t="s">
        <v>282</v>
      </c>
      <c r="G13" s="89" t="s">
        <v>282</v>
      </c>
      <c r="H13" s="89" t="s">
        <v>282</v>
      </c>
      <c r="I13" s="100" t="s">
        <v>282</v>
      </c>
      <c r="J13" s="100" t="s">
        <v>282</v>
      </c>
      <c r="K13" s="100" t="s">
        <v>282</v>
      </c>
      <c r="L13" s="100" t="s">
        <v>282</v>
      </c>
      <c r="M13" s="216"/>
      <c r="AA13" s="88"/>
    </row>
    <row r="14" spans="2:27" x14ac:dyDescent="0.25">
      <c r="B14" s="90" t="s">
        <v>891</v>
      </c>
      <c r="C14" s="230">
        <v>41946</v>
      </c>
      <c r="D14" s="231">
        <v>0.54</v>
      </c>
      <c r="E14" s="101">
        <v>32</v>
      </c>
      <c r="F14" s="101">
        <v>45</v>
      </c>
      <c r="G14" s="101">
        <v>77</v>
      </c>
      <c r="H14" s="102" t="s">
        <v>874</v>
      </c>
      <c r="I14" s="100">
        <v>13</v>
      </c>
      <c r="J14" s="100">
        <v>4</v>
      </c>
      <c r="K14" s="100">
        <v>15</v>
      </c>
      <c r="L14" s="100">
        <v>331</v>
      </c>
      <c r="M14" s="216">
        <f>L14*D14</f>
        <v>178.74</v>
      </c>
      <c r="AA14" s="88"/>
    </row>
    <row r="15" spans="2:27" x14ac:dyDescent="0.25">
      <c r="B15" s="90" t="s">
        <v>892</v>
      </c>
      <c r="C15" s="230">
        <v>41911</v>
      </c>
      <c r="D15" s="231">
        <v>0.5</v>
      </c>
      <c r="E15" s="103">
        <v>39</v>
      </c>
      <c r="F15" s="103">
        <v>34</v>
      </c>
      <c r="G15" s="103">
        <v>73</v>
      </c>
      <c r="H15" s="102" t="s">
        <v>874</v>
      </c>
      <c r="I15" s="100">
        <v>15</v>
      </c>
      <c r="J15" s="100">
        <v>7</v>
      </c>
      <c r="K15" s="100">
        <v>8</v>
      </c>
      <c r="L15" s="100">
        <v>374</v>
      </c>
      <c r="M15" s="216">
        <f t="shared" ref="M15:M25" si="3">L15*D15</f>
        <v>187</v>
      </c>
      <c r="AA15" s="88"/>
    </row>
    <row r="16" spans="2:27" x14ac:dyDescent="0.25">
      <c r="B16" s="90" t="s">
        <v>893</v>
      </c>
      <c r="C16" s="230">
        <v>41911</v>
      </c>
      <c r="D16" s="231">
        <v>0.5</v>
      </c>
      <c r="E16" s="103">
        <v>19</v>
      </c>
      <c r="F16" s="103">
        <v>16</v>
      </c>
      <c r="G16" s="103">
        <v>35</v>
      </c>
      <c r="H16" s="102" t="s">
        <v>874</v>
      </c>
      <c r="I16" s="100">
        <v>7</v>
      </c>
      <c r="J16" s="100">
        <v>8</v>
      </c>
      <c r="K16" s="100">
        <v>1</v>
      </c>
      <c r="L16" s="100">
        <v>239</v>
      </c>
      <c r="M16" s="216">
        <f t="shared" si="3"/>
        <v>119.5</v>
      </c>
      <c r="AA16" s="88"/>
    </row>
    <row r="17" spans="2:27" x14ac:dyDescent="0.25">
      <c r="B17" s="90" t="s">
        <v>894</v>
      </c>
      <c r="C17" s="230">
        <v>41855</v>
      </c>
      <c r="D17" s="231">
        <v>0.5</v>
      </c>
      <c r="E17" s="103">
        <v>30</v>
      </c>
      <c r="F17" s="103">
        <v>32</v>
      </c>
      <c r="G17" s="103">
        <v>62</v>
      </c>
      <c r="H17" s="102" t="s">
        <v>874</v>
      </c>
      <c r="I17" s="100">
        <v>18</v>
      </c>
      <c r="J17" s="100">
        <v>5</v>
      </c>
      <c r="K17" s="100">
        <v>4</v>
      </c>
      <c r="L17" s="100">
        <v>228</v>
      </c>
      <c r="M17" s="216">
        <f t="shared" si="3"/>
        <v>114</v>
      </c>
      <c r="AA17" s="88"/>
    </row>
    <row r="18" spans="2:27" x14ac:dyDescent="0.25">
      <c r="B18" s="90" t="s">
        <v>895</v>
      </c>
      <c r="C18" s="230">
        <v>41764</v>
      </c>
      <c r="D18" s="231">
        <v>0.3</v>
      </c>
      <c r="E18" s="103">
        <v>14</v>
      </c>
      <c r="F18" s="219">
        <v>0</v>
      </c>
      <c r="G18" s="103">
        <v>14</v>
      </c>
      <c r="H18" s="102" t="s">
        <v>432</v>
      </c>
      <c r="I18" s="216">
        <v>0</v>
      </c>
      <c r="J18" s="216">
        <v>0</v>
      </c>
      <c r="K18" s="216">
        <v>0</v>
      </c>
      <c r="L18" s="216">
        <v>0</v>
      </c>
      <c r="M18" s="216">
        <f t="shared" si="3"/>
        <v>0</v>
      </c>
      <c r="AA18" s="88"/>
    </row>
    <row r="19" spans="2:27" x14ac:dyDescent="0.25">
      <c r="B19" s="90" t="s">
        <v>901</v>
      </c>
      <c r="C19" s="230">
        <v>41729</v>
      </c>
      <c r="D19" s="231">
        <v>0.5</v>
      </c>
      <c r="E19" s="103">
        <v>44</v>
      </c>
      <c r="F19" s="103">
        <v>48</v>
      </c>
      <c r="G19" s="103">
        <v>92</v>
      </c>
      <c r="H19" s="102" t="s">
        <v>874</v>
      </c>
      <c r="I19" s="100">
        <v>13</v>
      </c>
      <c r="J19" s="100">
        <v>1</v>
      </c>
      <c r="K19" s="100">
        <v>11</v>
      </c>
      <c r="L19" s="100">
        <v>433</v>
      </c>
      <c r="M19" s="216">
        <f t="shared" si="3"/>
        <v>216.5</v>
      </c>
      <c r="AA19" s="88"/>
    </row>
    <row r="20" spans="2:27" x14ac:dyDescent="0.25">
      <c r="B20" s="90" t="s">
        <v>896</v>
      </c>
      <c r="C20" s="230">
        <v>41684</v>
      </c>
      <c r="D20" s="232">
        <v>0.622</v>
      </c>
      <c r="E20" s="103">
        <v>57</v>
      </c>
      <c r="F20" s="103">
        <v>61</v>
      </c>
      <c r="G20" s="103">
        <v>118</v>
      </c>
      <c r="H20" s="102" t="s">
        <v>874</v>
      </c>
      <c r="I20" s="100">
        <v>7</v>
      </c>
      <c r="J20" s="100">
        <v>4</v>
      </c>
      <c r="K20" s="100">
        <v>8</v>
      </c>
      <c r="L20" s="100">
        <v>368</v>
      </c>
      <c r="M20" s="216">
        <f t="shared" si="3"/>
        <v>228.89599999999999</v>
      </c>
    </row>
    <row r="21" spans="2:27" x14ac:dyDescent="0.25">
      <c r="B21" s="235">
        <v>2013</v>
      </c>
      <c r="C21" s="102"/>
      <c r="D21" s="102" t="s">
        <v>282</v>
      </c>
      <c r="E21" s="102" t="s">
        <v>282</v>
      </c>
      <c r="F21" s="102" t="s">
        <v>282</v>
      </c>
      <c r="G21" s="102" t="s">
        <v>282</v>
      </c>
      <c r="H21" s="102" t="s">
        <v>282</v>
      </c>
      <c r="I21" s="100" t="s">
        <v>282</v>
      </c>
      <c r="J21" s="100" t="s">
        <v>282</v>
      </c>
      <c r="K21" s="100" t="s">
        <v>282</v>
      </c>
      <c r="L21" s="100" t="s">
        <v>282</v>
      </c>
      <c r="M21" s="216"/>
    </row>
    <row r="22" spans="2:27" x14ac:dyDescent="0.25">
      <c r="B22" s="90" t="s">
        <v>897</v>
      </c>
      <c r="C22" s="230">
        <v>41639</v>
      </c>
      <c r="D22" s="231">
        <v>0.35</v>
      </c>
      <c r="E22" s="101">
        <v>32</v>
      </c>
      <c r="F22" s="219">
        <v>0</v>
      </c>
      <c r="G22" s="101">
        <v>32</v>
      </c>
      <c r="H22" s="102" t="s">
        <v>432</v>
      </c>
      <c r="I22" s="216">
        <v>0</v>
      </c>
      <c r="J22" s="216">
        <v>0</v>
      </c>
      <c r="K22" s="216">
        <v>0</v>
      </c>
      <c r="L22" s="216">
        <v>0</v>
      </c>
      <c r="M22" s="216">
        <f t="shared" si="3"/>
        <v>0</v>
      </c>
    </row>
    <row r="23" spans="2:27" x14ac:dyDescent="0.25">
      <c r="B23" s="90" t="s">
        <v>898</v>
      </c>
      <c r="C23" s="230">
        <v>41400</v>
      </c>
      <c r="D23" s="231">
        <v>0.67</v>
      </c>
      <c r="E23" s="103">
        <v>62</v>
      </c>
      <c r="F23" s="103">
        <v>74</v>
      </c>
      <c r="G23" s="103">
        <v>136</v>
      </c>
      <c r="H23" s="102" t="s">
        <v>874</v>
      </c>
      <c r="I23" s="100">
        <v>5</v>
      </c>
      <c r="J23" s="100">
        <v>10</v>
      </c>
      <c r="K23" s="100">
        <v>8</v>
      </c>
      <c r="L23" s="100">
        <v>384</v>
      </c>
      <c r="M23" s="216">
        <f t="shared" si="3"/>
        <v>257.28000000000003</v>
      </c>
    </row>
    <row r="24" spans="2:27" x14ac:dyDescent="0.25">
      <c r="B24" s="90" t="s">
        <v>899</v>
      </c>
      <c r="C24" s="230">
        <v>41456</v>
      </c>
      <c r="D24" s="232">
        <v>0.2001</v>
      </c>
      <c r="E24" s="103">
        <v>4</v>
      </c>
      <c r="F24" s="219">
        <v>0</v>
      </c>
      <c r="G24" s="103">
        <v>4</v>
      </c>
      <c r="H24" s="102" t="s">
        <v>432</v>
      </c>
      <c r="I24" s="216">
        <v>0</v>
      </c>
      <c r="J24" s="216">
        <v>0</v>
      </c>
      <c r="K24" s="216">
        <v>0</v>
      </c>
      <c r="L24" s="216">
        <v>0</v>
      </c>
      <c r="M24" s="216">
        <f t="shared" si="3"/>
        <v>0</v>
      </c>
    </row>
    <row r="25" spans="2:27" x14ac:dyDescent="0.25">
      <c r="B25" s="90" t="s">
        <v>900</v>
      </c>
      <c r="C25" s="230">
        <v>41305</v>
      </c>
      <c r="D25" s="231">
        <v>0.5</v>
      </c>
      <c r="E25" s="103">
        <v>18</v>
      </c>
      <c r="F25" s="219">
        <v>0</v>
      </c>
      <c r="G25" s="103">
        <v>18</v>
      </c>
      <c r="H25" s="102" t="s">
        <v>874</v>
      </c>
      <c r="I25" s="100">
        <v>7</v>
      </c>
      <c r="J25" s="100">
        <v>3</v>
      </c>
      <c r="K25" s="100">
        <v>2</v>
      </c>
      <c r="L25" s="100">
        <v>137</v>
      </c>
      <c r="M25" s="216">
        <f t="shared" si="3"/>
        <v>68.5</v>
      </c>
    </row>
    <row r="27" spans="2:27" x14ac:dyDescent="0.25">
      <c r="B27" t="s">
        <v>887</v>
      </c>
    </row>
    <row r="28" spans="2:27" x14ac:dyDescent="0.25">
      <c r="B28" t="s">
        <v>885</v>
      </c>
    </row>
    <row r="30" spans="2:27" x14ac:dyDescent="0.25">
      <c r="C30" s="209">
        <v>2022</v>
      </c>
      <c r="D30" s="209">
        <v>2021</v>
      </c>
      <c r="E30" s="209">
        <v>2020</v>
      </c>
      <c r="F30" s="209">
        <v>2019</v>
      </c>
      <c r="G30" s="209">
        <v>2018</v>
      </c>
      <c r="H30" s="209">
        <v>2017</v>
      </c>
      <c r="I30" s="209">
        <v>2016</v>
      </c>
      <c r="J30" s="209">
        <v>2015</v>
      </c>
      <c r="K30" s="209">
        <v>2014</v>
      </c>
      <c r="L30" s="209">
        <v>2013</v>
      </c>
      <c r="M30" t="s">
        <v>1028</v>
      </c>
      <c r="N30" t="s">
        <v>1025</v>
      </c>
    </row>
    <row r="31" spans="2:27" x14ac:dyDescent="0.25">
      <c r="B31" t="s">
        <v>870</v>
      </c>
      <c r="C31" s="216">
        <f t="shared" ref="C31:F31" si="4">-C48</f>
        <v>291.2</v>
      </c>
      <c r="D31" s="216">
        <f t="shared" si="4"/>
        <v>291.2</v>
      </c>
      <c r="E31" s="216">
        <f t="shared" si="4"/>
        <v>291.2</v>
      </c>
      <c r="F31" s="216">
        <f t="shared" si="4"/>
        <v>291.2</v>
      </c>
      <c r="G31" s="216">
        <f>-G48</f>
        <v>291.2</v>
      </c>
      <c r="H31" s="261">
        <f>H32+H35</f>
        <v>662</v>
      </c>
      <c r="I31" s="219">
        <f t="shared" ref="I31:L31" si="5">I32+I35</f>
        <v>197</v>
      </c>
      <c r="J31" s="219">
        <f t="shared" si="5"/>
        <v>122</v>
      </c>
      <c r="K31" s="219">
        <f t="shared" si="5"/>
        <v>471</v>
      </c>
      <c r="L31" s="219">
        <f t="shared" si="5"/>
        <v>190</v>
      </c>
    </row>
    <row r="32" spans="2:27" x14ac:dyDescent="0.25">
      <c r="B32" t="s">
        <v>888</v>
      </c>
      <c r="C32" s="261">
        <f t="shared" ref="C32:G32" si="6">SUM(C33:C34)</f>
        <v>1477.7</v>
      </c>
      <c r="D32" s="261">
        <f t="shared" si="6"/>
        <v>1332.2</v>
      </c>
      <c r="E32" s="261">
        <f t="shared" si="6"/>
        <v>1186.7</v>
      </c>
      <c r="F32" s="261">
        <f t="shared" si="6"/>
        <v>1041.2</v>
      </c>
      <c r="G32" s="261">
        <f t="shared" si="6"/>
        <v>895.7</v>
      </c>
      <c r="H32" s="261">
        <f>SUM(H33:H34)</f>
        <v>662</v>
      </c>
      <c r="I32" s="211">
        <f t="shared" ref="I32:L32" si="7">SUM(I33:I34)</f>
        <v>99</v>
      </c>
      <c r="J32" s="211">
        <f t="shared" si="7"/>
        <v>114</v>
      </c>
      <c r="K32" s="219">
        <f t="shared" si="7"/>
        <v>457</v>
      </c>
      <c r="L32" s="219">
        <f t="shared" si="7"/>
        <v>154</v>
      </c>
    </row>
    <row r="33" spans="2:14" x14ac:dyDescent="0.25">
      <c r="B33" s="9" t="s">
        <v>868</v>
      </c>
      <c r="C33" s="261">
        <f t="shared" ref="C33:G33" si="8">D33+$M33</f>
        <v>1389.5</v>
      </c>
      <c r="D33" s="261">
        <f t="shared" si="8"/>
        <v>1244</v>
      </c>
      <c r="E33" s="261">
        <f t="shared" si="8"/>
        <v>1098.5</v>
      </c>
      <c r="F33" s="261">
        <f t="shared" si="8"/>
        <v>953</v>
      </c>
      <c r="G33" s="261">
        <f t="shared" si="8"/>
        <v>807.5</v>
      </c>
      <c r="H33" s="261">
        <f>E3+E4</f>
        <v>662</v>
      </c>
      <c r="I33" s="211">
        <f>SUM(E7)</f>
        <v>32</v>
      </c>
      <c r="J33" s="211">
        <f>E10+E11</f>
        <v>50</v>
      </c>
      <c r="K33" s="229">
        <f>SUM(E14:E17,E19:E20)</f>
        <v>221</v>
      </c>
      <c r="L33" s="229">
        <f>E23+E25</f>
        <v>80</v>
      </c>
      <c r="M33">
        <f>(H33-L33)/4</f>
        <v>145.5</v>
      </c>
      <c r="N33" t="s">
        <v>1020</v>
      </c>
    </row>
    <row r="34" spans="2:14" x14ac:dyDescent="0.25">
      <c r="B34" s="9" t="s">
        <v>869</v>
      </c>
      <c r="C34" s="261">
        <f t="shared" ref="C34:G35" si="9">$M34</f>
        <v>88.2</v>
      </c>
      <c r="D34" s="261">
        <f t="shared" si="9"/>
        <v>88.2</v>
      </c>
      <c r="E34" s="261">
        <f t="shared" si="9"/>
        <v>88.2</v>
      </c>
      <c r="F34" s="261">
        <f t="shared" si="9"/>
        <v>88.2</v>
      </c>
      <c r="G34" s="261">
        <f t="shared" si="9"/>
        <v>88.2</v>
      </c>
      <c r="H34" s="261">
        <v>0</v>
      </c>
      <c r="I34" s="211">
        <f>SUM(F7)</f>
        <v>67</v>
      </c>
      <c r="J34" s="211">
        <f>F10+F11</f>
        <v>64</v>
      </c>
      <c r="K34" s="229">
        <f>SUM(F14:F17,F19:F20)</f>
        <v>236</v>
      </c>
      <c r="L34" s="228">
        <f>F23</f>
        <v>74</v>
      </c>
      <c r="M34">
        <f>AVERAGE(H34:L34)</f>
        <v>88.2</v>
      </c>
      <c r="N34" t="s">
        <v>1011</v>
      </c>
    </row>
    <row r="35" spans="2:14" x14ac:dyDescent="0.25">
      <c r="B35" t="s">
        <v>889</v>
      </c>
      <c r="C35" s="261">
        <f t="shared" si="9"/>
        <v>0</v>
      </c>
      <c r="D35" s="261">
        <f t="shared" si="9"/>
        <v>0</v>
      </c>
      <c r="E35" s="261">
        <f t="shared" si="9"/>
        <v>0</v>
      </c>
      <c r="F35" s="261">
        <f t="shared" si="9"/>
        <v>0</v>
      </c>
      <c r="G35" s="261">
        <f>$M35</f>
        <v>0</v>
      </c>
      <c r="H35" s="261">
        <v>0</v>
      </c>
      <c r="I35" s="211">
        <f>SUM(E8,E6)</f>
        <v>98</v>
      </c>
      <c r="J35" s="211">
        <f>E12</f>
        <v>8</v>
      </c>
      <c r="K35" s="228">
        <f>E18</f>
        <v>14</v>
      </c>
      <c r="L35" s="229">
        <f>E22+E24</f>
        <v>36</v>
      </c>
      <c r="M35">
        <v>0</v>
      </c>
      <c r="N35" t="s">
        <v>1037</v>
      </c>
    </row>
    <row r="36" spans="2:14" x14ac:dyDescent="0.25">
      <c r="C36" s="261"/>
      <c r="D36" s="261"/>
      <c r="E36" s="261"/>
      <c r="F36" s="261"/>
      <c r="G36" s="261"/>
      <c r="H36" s="291"/>
      <c r="I36" s="291"/>
      <c r="J36" s="291"/>
      <c r="K36" s="291"/>
      <c r="L36" s="291"/>
    </row>
    <row r="37" spans="2:14" x14ac:dyDescent="0.25">
      <c r="B37" t="s">
        <v>890</v>
      </c>
      <c r="C37" s="261"/>
      <c r="D37" s="261"/>
      <c r="E37" s="261"/>
      <c r="F37" s="261"/>
      <c r="G37" s="261"/>
      <c r="H37" s="261">
        <f>SUM(H38:H41)</f>
        <v>1214</v>
      </c>
      <c r="I37" s="211">
        <f>SUM(I38:I41)</f>
        <v>418</v>
      </c>
      <c r="J37" s="211">
        <f t="shared" ref="J37:L37" si="10">SUM(J38:J41)</f>
        <v>541</v>
      </c>
      <c r="K37" s="219">
        <f t="shared" si="10"/>
        <v>2122</v>
      </c>
      <c r="L37" s="219">
        <f t="shared" si="10"/>
        <v>556</v>
      </c>
    </row>
    <row r="38" spans="2:14" x14ac:dyDescent="0.25">
      <c r="B38" s="224" t="s">
        <v>883</v>
      </c>
      <c r="C38" s="261"/>
      <c r="D38" s="261"/>
      <c r="E38" s="261"/>
      <c r="F38" s="261"/>
      <c r="G38" s="261"/>
      <c r="H38" s="261">
        <f>SUM(I3:I4)</f>
        <v>0</v>
      </c>
      <c r="I38" s="211">
        <f>I7</f>
        <v>15</v>
      </c>
      <c r="J38" s="211">
        <f>SUM(I10:I12)</f>
        <v>18</v>
      </c>
      <c r="K38" s="229">
        <f>SUM(I14:I20)</f>
        <v>73</v>
      </c>
      <c r="L38" s="219">
        <f>SUM(I22:I25)</f>
        <v>12</v>
      </c>
    </row>
    <row r="39" spans="2:14" x14ac:dyDescent="0.25">
      <c r="B39" s="224" t="s">
        <v>871</v>
      </c>
      <c r="C39" s="261"/>
      <c r="D39" s="261"/>
      <c r="E39" s="261"/>
      <c r="F39" s="261"/>
      <c r="G39" s="261"/>
      <c r="H39" s="261">
        <f>SUM(J3:J4)</f>
        <v>591</v>
      </c>
      <c r="I39" s="211">
        <f>J7</f>
        <v>4</v>
      </c>
      <c r="J39" s="211">
        <f>SUM(J10:J12)</f>
        <v>12</v>
      </c>
      <c r="K39" s="229">
        <f>SUM(J14:J20)</f>
        <v>29</v>
      </c>
      <c r="L39" s="219">
        <f>SUM(J22:J25)</f>
        <v>13</v>
      </c>
    </row>
    <row r="40" spans="2:14" x14ac:dyDescent="0.25">
      <c r="B40" s="224" t="s">
        <v>882</v>
      </c>
      <c r="C40" s="261"/>
      <c r="D40" s="261"/>
      <c r="E40" s="261"/>
      <c r="F40" s="261"/>
      <c r="G40" s="261"/>
      <c r="H40" s="261">
        <f>SUM(K3:K4)</f>
        <v>619</v>
      </c>
      <c r="I40" s="211">
        <f>K7</f>
        <v>8</v>
      </c>
      <c r="J40" s="211">
        <f>SUM(K10:K12)</f>
        <v>8</v>
      </c>
      <c r="K40" s="229">
        <f>SUM(K14:K20)</f>
        <v>47</v>
      </c>
      <c r="L40" s="219">
        <f>SUM(K22:K25)</f>
        <v>10</v>
      </c>
    </row>
    <row r="41" spans="2:14" x14ac:dyDescent="0.25">
      <c r="B41" s="224" t="s">
        <v>872</v>
      </c>
      <c r="C41" s="261"/>
      <c r="D41" s="261"/>
      <c r="E41" s="261"/>
      <c r="F41" s="261"/>
      <c r="G41" s="261"/>
      <c r="H41" s="261">
        <f>SUM(L3:L4)</f>
        <v>4</v>
      </c>
      <c r="I41" s="211">
        <f>L7</f>
        <v>391</v>
      </c>
      <c r="J41" s="211">
        <f>SUM(L10:L12)</f>
        <v>503</v>
      </c>
      <c r="K41" s="229">
        <f>SUM(L14:L20)</f>
        <v>1973</v>
      </c>
      <c r="L41" s="219">
        <f>SUM(L22:L25)</f>
        <v>521</v>
      </c>
    </row>
    <row r="42" spans="2:14" x14ac:dyDescent="0.25">
      <c r="C42" s="261"/>
      <c r="D42" s="261"/>
      <c r="E42" s="261"/>
      <c r="F42" s="261"/>
      <c r="G42" s="261"/>
      <c r="H42" s="261"/>
    </row>
    <row r="43" spans="2:14" x14ac:dyDescent="0.25">
      <c r="B43" s="233" t="s">
        <v>902</v>
      </c>
      <c r="C43" s="261"/>
      <c r="D43" s="261"/>
      <c r="E43" s="261"/>
      <c r="F43" s="261"/>
      <c r="G43" s="261"/>
      <c r="H43" s="64">
        <f>SUM(M3:M4)</f>
        <v>4</v>
      </c>
      <c r="I43" s="64">
        <f>SUM(M6:M8)</f>
        <v>195.5</v>
      </c>
      <c r="J43" s="64">
        <f>SUM(M10:M12)</f>
        <v>253.95</v>
      </c>
      <c r="K43" s="64">
        <f>SUM(M14:M20)</f>
        <v>1044.636</v>
      </c>
      <c r="L43" s="64">
        <f>SUM(M22:M25)</f>
        <v>325.78000000000003</v>
      </c>
    </row>
    <row r="44" spans="2:14" x14ac:dyDescent="0.25">
      <c r="C44" s="261"/>
      <c r="D44" s="261"/>
      <c r="E44" s="261"/>
      <c r="F44" s="261"/>
      <c r="G44" s="261"/>
      <c r="H44" s="261"/>
      <c r="I44" s="219"/>
      <c r="J44" s="219"/>
      <c r="K44" s="219"/>
      <c r="L44" s="219"/>
    </row>
    <row r="45" spans="2:14" x14ac:dyDescent="0.25">
      <c r="C45" s="261"/>
      <c r="D45" s="261"/>
      <c r="E45" s="261"/>
      <c r="F45" s="261"/>
      <c r="G45" s="261"/>
      <c r="H45" s="261"/>
      <c r="I45" s="219"/>
      <c r="J45" s="219">
        <v>336</v>
      </c>
      <c r="K45" s="219">
        <v>282</v>
      </c>
      <c r="L45" s="219">
        <v>-494</v>
      </c>
    </row>
    <row r="46" spans="2:14" x14ac:dyDescent="0.25">
      <c r="C46" s="261"/>
      <c r="D46" s="261"/>
      <c r="E46" s="261"/>
      <c r="F46" s="261"/>
      <c r="G46" s="261"/>
      <c r="H46" s="261"/>
      <c r="I46" s="219"/>
      <c r="J46" s="219">
        <f>I41</f>
        <v>391</v>
      </c>
      <c r="K46" s="225">
        <f t="shared" ref="K46:L46" si="11">J41</f>
        <v>503</v>
      </c>
      <c r="L46" s="225">
        <f t="shared" si="11"/>
        <v>1973</v>
      </c>
    </row>
    <row r="47" spans="2:14" x14ac:dyDescent="0.25">
      <c r="C47" s="261"/>
      <c r="D47" s="261"/>
      <c r="E47" s="261"/>
      <c r="F47" s="261"/>
      <c r="G47" s="261"/>
      <c r="H47" s="261"/>
      <c r="I47" s="219"/>
    </row>
    <row r="48" spans="2:14" x14ac:dyDescent="0.25">
      <c r="B48" t="s">
        <v>519</v>
      </c>
      <c r="C48" s="216">
        <f t="shared" ref="C48:F48" si="12">SUBTOTAL(9,C49:C50)</f>
        <v>-291.2</v>
      </c>
      <c r="D48" s="216">
        <f t="shared" si="12"/>
        <v>-291.2</v>
      </c>
      <c r="E48" s="216">
        <f t="shared" si="12"/>
        <v>-291.2</v>
      </c>
      <c r="F48" s="216">
        <f t="shared" si="12"/>
        <v>-291.2</v>
      </c>
      <c r="G48" s="216">
        <f>SUBTOTAL(9,G49:G50)</f>
        <v>-291.2</v>
      </c>
      <c r="H48" s="261">
        <v>-662</v>
      </c>
      <c r="I48" s="219">
        <v>-94</v>
      </c>
      <c r="J48" s="219">
        <v>-117</v>
      </c>
      <c r="K48" s="219">
        <v>-436</v>
      </c>
      <c r="L48" s="219">
        <v>-147</v>
      </c>
    </row>
    <row r="49" spans="2:14" x14ac:dyDescent="0.25">
      <c r="B49" t="s">
        <v>912</v>
      </c>
      <c r="C49" s="261">
        <f t="shared" ref="C49:F49" si="13">$M49</f>
        <v>-328.4</v>
      </c>
      <c r="D49" s="261">
        <f t="shared" si="13"/>
        <v>-328.4</v>
      </c>
      <c r="E49" s="261">
        <f t="shared" si="13"/>
        <v>-328.4</v>
      </c>
      <c r="F49" s="261">
        <f t="shared" si="13"/>
        <v>-328.4</v>
      </c>
      <c r="G49" s="261">
        <f>$M49</f>
        <v>-328.4</v>
      </c>
      <c r="H49" s="261">
        <f>-H31</f>
        <v>-662</v>
      </c>
      <c r="I49" s="219">
        <f>-I31</f>
        <v>-197</v>
      </c>
      <c r="J49" s="219">
        <f t="shared" ref="J49:L49" si="14">-J31</f>
        <v>-122</v>
      </c>
      <c r="K49" s="219">
        <f t="shared" si="14"/>
        <v>-471</v>
      </c>
      <c r="L49" s="219">
        <f t="shared" si="14"/>
        <v>-190</v>
      </c>
      <c r="M49">
        <f>AVERAGE(H49:L49)</f>
        <v>-328.4</v>
      </c>
      <c r="N49" t="s">
        <v>1011</v>
      </c>
    </row>
    <row r="50" spans="2:14" x14ac:dyDescent="0.25">
      <c r="B50" t="s">
        <v>913</v>
      </c>
      <c r="C50" s="290">
        <f t="shared" ref="C50:F50" si="15">C49*$M50</f>
        <v>37.199999999999996</v>
      </c>
      <c r="D50" s="290">
        <f t="shared" si="15"/>
        <v>37.199999999999996</v>
      </c>
      <c r="E50" s="290">
        <f t="shared" si="15"/>
        <v>37.199999999999996</v>
      </c>
      <c r="F50" s="290">
        <f t="shared" si="15"/>
        <v>37.199999999999996</v>
      </c>
      <c r="G50" s="290">
        <f>G49*$M50</f>
        <v>37.199999999999996</v>
      </c>
      <c r="H50" s="261">
        <f>H48-H49</f>
        <v>0</v>
      </c>
      <c r="I50" s="219">
        <f t="shared" ref="I50:L50" si="16">I48-I49</f>
        <v>103</v>
      </c>
      <c r="J50" s="219">
        <f t="shared" si="16"/>
        <v>5</v>
      </c>
      <c r="K50" s="219">
        <f t="shared" si="16"/>
        <v>35</v>
      </c>
      <c r="L50" s="219">
        <f t="shared" si="16"/>
        <v>43</v>
      </c>
      <c r="M50">
        <f>SUM(H50:L50)/SUM(H49:L49)</f>
        <v>-0.11327649208282582</v>
      </c>
      <c r="N50" t="s">
        <v>1029</v>
      </c>
    </row>
    <row r="52" spans="2:14" x14ac:dyDescent="0.25">
      <c r="B52">
        <v>2017</v>
      </c>
    </row>
    <row r="53" spans="2:14" x14ac:dyDescent="0.25">
      <c r="B53" t="s">
        <v>911</v>
      </c>
    </row>
    <row r="54" spans="2:14" x14ac:dyDescent="0.25">
      <c r="B54" t="s">
        <v>295</v>
      </c>
      <c r="C54" t="s">
        <v>282</v>
      </c>
    </row>
    <row r="55" spans="2:14" x14ac:dyDescent="0.25">
      <c r="B55" t="s">
        <v>601</v>
      </c>
      <c r="C55">
        <v>3</v>
      </c>
    </row>
    <row r="56" spans="2:14" x14ac:dyDescent="0.25">
      <c r="B56" t="s">
        <v>903</v>
      </c>
      <c r="C56">
        <v>58</v>
      </c>
    </row>
    <row r="57" spans="2:14" x14ac:dyDescent="0.25">
      <c r="B57" t="s">
        <v>904</v>
      </c>
      <c r="C57">
        <f>C58+C59</f>
        <v>596</v>
      </c>
    </row>
    <row r="58" spans="2:14" x14ac:dyDescent="0.25">
      <c r="B58" t="s">
        <v>905</v>
      </c>
      <c r="C58">
        <v>424</v>
      </c>
      <c r="D58" t="s">
        <v>282</v>
      </c>
    </row>
    <row r="59" spans="2:14" x14ac:dyDescent="0.25">
      <c r="B59" t="s">
        <v>906</v>
      </c>
      <c r="C59">
        <v>172</v>
      </c>
    </row>
    <row r="60" spans="2:14" x14ac:dyDescent="0.25">
      <c r="B60" t="s">
        <v>907</v>
      </c>
      <c r="C60">
        <v>544</v>
      </c>
    </row>
    <row r="61" spans="2:14" x14ac:dyDescent="0.25">
      <c r="B61" t="s">
        <v>67</v>
      </c>
      <c r="C61">
        <v>-1</v>
      </c>
    </row>
    <row r="62" spans="2:14" x14ac:dyDescent="0.25">
      <c r="B62" t="s">
        <v>908</v>
      </c>
      <c r="C62">
        <v>1200</v>
      </c>
    </row>
    <row r="63" spans="2:14" x14ac:dyDescent="0.25">
      <c r="B63" t="s">
        <v>909</v>
      </c>
      <c r="C63">
        <v>600</v>
      </c>
    </row>
    <row r="64" spans="2:14" x14ac:dyDescent="0.25">
      <c r="B64" t="s">
        <v>910</v>
      </c>
      <c r="C64">
        <v>600</v>
      </c>
    </row>
    <row r="66" spans="2:6" x14ac:dyDescent="0.25">
      <c r="B66">
        <v>2014</v>
      </c>
    </row>
    <row r="67" spans="2:6" ht="30" x14ac:dyDescent="0.25">
      <c r="B67" t="s">
        <v>295</v>
      </c>
      <c r="C67" s="221" t="s">
        <v>918</v>
      </c>
      <c r="D67" s="221" t="s">
        <v>919</v>
      </c>
      <c r="E67" s="221" t="s">
        <v>920</v>
      </c>
    </row>
    <row r="68" spans="2:6" x14ac:dyDescent="0.25">
      <c r="B68" t="s">
        <v>914</v>
      </c>
      <c r="C68" s="236">
        <v>63</v>
      </c>
      <c r="D68" s="236">
        <v>71</v>
      </c>
      <c r="E68" s="236">
        <v>48</v>
      </c>
      <c r="F68" s="236">
        <f>SUM(C68:E68)</f>
        <v>182</v>
      </c>
    </row>
    <row r="69" spans="2:6" x14ac:dyDescent="0.25">
      <c r="B69" t="s">
        <v>601</v>
      </c>
      <c r="C69" s="236">
        <v>59</v>
      </c>
      <c r="D69" s="236">
        <v>70</v>
      </c>
      <c r="E69" s="236">
        <v>100</v>
      </c>
      <c r="F69" s="236">
        <f t="shared" ref="F69:F78" si="17">SUM(C69:E69)</f>
        <v>229</v>
      </c>
    </row>
    <row r="70" spans="2:6" x14ac:dyDescent="0.25">
      <c r="B70" t="s">
        <v>903</v>
      </c>
      <c r="C70" s="236">
        <v>47</v>
      </c>
      <c r="D70" s="236">
        <v>37</v>
      </c>
      <c r="E70" s="236">
        <v>34</v>
      </c>
      <c r="F70" s="236">
        <f t="shared" si="17"/>
        <v>118</v>
      </c>
    </row>
    <row r="71" spans="2:6" x14ac:dyDescent="0.25">
      <c r="B71" t="s">
        <v>904</v>
      </c>
      <c r="C71" s="236">
        <v>11</v>
      </c>
      <c r="D71" s="236">
        <v>8</v>
      </c>
      <c r="E71" s="236">
        <v>8</v>
      </c>
      <c r="F71" s="236">
        <f t="shared" si="17"/>
        <v>27</v>
      </c>
    </row>
    <row r="72" spans="2:6" x14ac:dyDescent="0.25">
      <c r="B72" s="9" t="s">
        <v>907</v>
      </c>
      <c r="C72" s="236">
        <v>1</v>
      </c>
      <c r="D72" s="236">
        <v>4</v>
      </c>
      <c r="E72" s="236">
        <v>10</v>
      </c>
      <c r="F72" s="236">
        <f t="shared" si="17"/>
        <v>15</v>
      </c>
    </row>
    <row r="73" spans="2:6" x14ac:dyDescent="0.25">
      <c r="B73" s="9" t="s">
        <v>443</v>
      </c>
      <c r="C73" s="236">
        <v>8</v>
      </c>
      <c r="D73" s="236">
        <v>10</v>
      </c>
      <c r="E73" s="236">
        <v>8</v>
      </c>
      <c r="F73" s="236">
        <f t="shared" si="17"/>
        <v>26</v>
      </c>
    </row>
    <row r="74" spans="2:6" x14ac:dyDescent="0.25">
      <c r="B74" t="s">
        <v>423</v>
      </c>
      <c r="C74" s="236">
        <v>-53</v>
      </c>
      <c r="D74" s="236">
        <v>-43</v>
      </c>
      <c r="E74" s="236">
        <v>-41</v>
      </c>
      <c r="F74" s="236">
        <f t="shared" si="17"/>
        <v>-137</v>
      </c>
    </row>
    <row r="75" spans="2:6" x14ac:dyDescent="0.25">
      <c r="B75" t="s">
        <v>915</v>
      </c>
      <c r="C75" s="236">
        <v>0</v>
      </c>
      <c r="D75" s="236">
        <v>-4</v>
      </c>
      <c r="E75" s="236">
        <v>0</v>
      </c>
      <c r="F75" s="236">
        <f t="shared" si="17"/>
        <v>-4</v>
      </c>
    </row>
    <row r="76" spans="2:6" x14ac:dyDescent="0.25">
      <c r="B76" s="9" t="s">
        <v>916</v>
      </c>
      <c r="C76" s="236">
        <v>136</v>
      </c>
      <c r="D76" s="236">
        <v>153</v>
      </c>
      <c r="E76" s="236">
        <v>167</v>
      </c>
      <c r="F76" s="236">
        <f t="shared" si="17"/>
        <v>456</v>
      </c>
    </row>
    <row r="77" spans="2:6" x14ac:dyDescent="0.25">
      <c r="B77" t="s">
        <v>917</v>
      </c>
      <c r="C77" s="236">
        <v>-44</v>
      </c>
      <c r="D77" s="236">
        <v>-35</v>
      </c>
      <c r="E77" s="236">
        <v>-31</v>
      </c>
      <c r="F77" s="236">
        <f t="shared" si="17"/>
        <v>-110</v>
      </c>
    </row>
    <row r="78" spans="2:6" x14ac:dyDescent="0.25">
      <c r="B78" t="s">
        <v>910</v>
      </c>
      <c r="C78" s="236">
        <v>92</v>
      </c>
      <c r="D78" s="236">
        <v>118</v>
      </c>
      <c r="E78" s="236">
        <v>136</v>
      </c>
      <c r="F78" s="236">
        <f t="shared" si="17"/>
        <v>346</v>
      </c>
    </row>
  </sheetData>
  <pageMargins left="0.7" right="0.7" top="0.75" bottom="0.75" header="0.3" footer="0.3"/>
  <pageSetup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693D-216A-404C-8E27-836B57A0CDD0}">
  <sheetPr codeName="Sheet30">
    <tabColor theme="5" tint="-0.249977111117893"/>
  </sheetPr>
  <dimension ref="A1"/>
  <sheetViews>
    <sheetView workbookViewId="0"/>
  </sheetViews>
  <sheetFormatPr defaultRowHeight="15" x14ac:dyDescent="0.25"/>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15DAE2-3B89-44C1-B5B9-24E9DFBB022F}">
  <sheetPr codeName="Sheet2">
    <tabColor theme="5" tint="0.39997558519241921"/>
  </sheetPr>
  <dimension ref="A1:O101"/>
  <sheetViews>
    <sheetView workbookViewId="0"/>
  </sheetViews>
  <sheetFormatPr defaultRowHeight="15" x14ac:dyDescent="0.25"/>
  <cols>
    <col min="1" max="1" width="27.140625" bestFit="1" customWidth="1"/>
    <col min="2" max="2" width="18.85546875" bestFit="1" customWidth="1"/>
    <col min="6" max="6" width="20" bestFit="1" customWidth="1"/>
    <col min="7" max="7" width="9.42578125" bestFit="1" customWidth="1"/>
    <col min="8" max="8" width="18.140625" bestFit="1" customWidth="1"/>
  </cols>
  <sheetData>
    <row r="1" spans="1:11" x14ac:dyDescent="0.25">
      <c r="A1" t="s">
        <v>118</v>
      </c>
      <c r="B1" t="s">
        <v>119</v>
      </c>
      <c r="F1" s="17">
        <v>43179</v>
      </c>
      <c r="K1" t="s">
        <v>716</v>
      </c>
    </row>
    <row r="2" spans="1:11" x14ac:dyDescent="0.25">
      <c r="A2" t="s">
        <v>120</v>
      </c>
      <c r="B2" t="s">
        <v>121</v>
      </c>
      <c r="F2" t="s">
        <v>178</v>
      </c>
    </row>
    <row r="3" spans="1:11" x14ac:dyDescent="0.25">
      <c r="A3" t="s">
        <v>122</v>
      </c>
      <c r="B3" t="s">
        <v>123</v>
      </c>
      <c r="F3" t="s">
        <v>179</v>
      </c>
      <c r="G3">
        <v>159.61000000000001</v>
      </c>
      <c r="H3" t="s">
        <v>180</v>
      </c>
      <c r="I3">
        <v>184.95</v>
      </c>
    </row>
    <row r="4" spans="1:11" x14ac:dyDescent="0.25">
      <c r="A4" t="s">
        <v>124</v>
      </c>
      <c r="B4" t="s">
        <v>125</v>
      </c>
      <c r="F4" t="s">
        <v>181</v>
      </c>
      <c r="G4">
        <v>194.18</v>
      </c>
      <c r="H4" t="s">
        <v>182</v>
      </c>
      <c r="I4">
        <v>25.34</v>
      </c>
    </row>
    <row r="5" spans="1:11" x14ac:dyDescent="0.25">
      <c r="A5" t="s">
        <v>126</v>
      </c>
      <c r="B5" t="s">
        <v>127</v>
      </c>
      <c r="F5" t="s">
        <v>183</v>
      </c>
      <c r="G5">
        <v>143.83000000000001</v>
      </c>
      <c r="H5" t="s">
        <v>184</v>
      </c>
      <c r="I5" s="15">
        <v>0.1588</v>
      </c>
    </row>
    <row r="6" spans="1:11" x14ac:dyDescent="0.25">
      <c r="A6" t="s">
        <v>128</v>
      </c>
      <c r="B6" t="s">
        <v>129</v>
      </c>
      <c r="F6" t="s">
        <v>185</v>
      </c>
      <c r="G6" s="63">
        <v>43179</v>
      </c>
    </row>
    <row r="7" spans="1:11" x14ac:dyDescent="0.25">
      <c r="A7" t="s">
        <v>130</v>
      </c>
      <c r="B7" t="s">
        <v>131</v>
      </c>
    </row>
    <row r="8" spans="1:11" x14ac:dyDescent="0.25">
      <c r="A8" t="s">
        <v>132</v>
      </c>
      <c r="B8" t="s">
        <v>133</v>
      </c>
    </row>
    <row r="9" spans="1:11" x14ac:dyDescent="0.25">
      <c r="A9" t="s">
        <v>134</v>
      </c>
      <c r="B9" t="s">
        <v>135</v>
      </c>
      <c r="F9" t="s">
        <v>186</v>
      </c>
    </row>
    <row r="10" spans="1:11" x14ac:dyDescent="0.25">
      <c r="A10" t="s">
        <v>136</v>
      </c>
      <c r="B10" t="s">
        <v>137</v>
      </c>
      <c r="F10" t="s">
        <v>187</v>
      </c>
      <c r="G10">
        <v>5</v>
      </c>
    </row>
    <row r="11" spans="1:11" x14ac:dyDescent="0.25">
      <c r="A11" t="s">
        <v>138</v>
      </c>
      <c r="B11" t="s">
        <v>139</v>
      </c>
      <c r="F11" t="s">
        <v>188</v>
      </c>
      <c r="G11">
        <v>3</v>
      </c>
    </row>
    <row r="12" spans="1:11" x14ac:dyDescent="0.25">
      <c r="A12" t="s">
        <v>140</v>
      </c>
      <c r="B12" t="s">
        <v>141</v>
      </c>
      <c r="F12" t="s">
        <v>189</v>
      </c>
      <c r="G12">
        <v>16</v>
      </c>
    </row>
    <row r="13" spans="1:11" x14ac:dyDescent="0.25">
      <c r="A13" t="s">
        <v>142</v>
      </c>
      <c r="B13" t="s">
        <v>143</v>
      </c>
      <c r="F13" t="s">
        <v>190</v>
      </c>
      <c r="G13">
        <v>2</v>
      </c>
    </row>
    <row r="14" spans="1:11" x14ac:dyDescent="0.25">
      <c r="A14" t="s">
        <v>144</v>
      </c>
      <c r="B14" t="s">
        <v>145</v>
      </c>
      <c r="F14" t="s">
        <v>191</v>
      </c>
      <c r="G14">
        <v>1</v>
      </c>
    </row>
    <row r="15" spans="1:11" x14ac:dyDescent="0.25">
      <c r="A15" t="s">
        <v>146</v>
      </c>
      <c r="B15" t="s">
        <v>147</v>
      </c>
    </row>
    <row r="16" spans="1:11" x14ac:dyDescent="0.25">
      <c r="A16" t="s">
        <v>148</v>
      </c>
      <c r="B16" t="s">
        <v>149</v>
      </c>
    </row>
    <row r="17" spans="1:15" x14ac:dyDescent="0.25">
      <c r="A17" t="s">
        <v>150</v>
      </c>
      <c r="B17" t="s">
        <v>151</v>
      </c>
      <c r="F17" t="s">
        <v>200</v>
      </c>
      <c r="M17" t="s">
        <v>192</v>
      </c>
    </row>
    <row r="18" spans="1:15" x14ac:dyDescent="0.25">
      <c r="A18" t="s">
        <v>152</v>
      </c>
      <c r="B18" t="s">
        <v>153</v>
      </c>
      <c r="F18" t="s">
        <v>193</v>
      </c>
      <c r="H18" t="s">
        <v>194</v>
      </c>
      <c r="I18" t="s">
        <v>38</v>
      </c>
      <c r="J18" t="s">
        <v>36</v>
      </c>
      <c r="K18" t="s">
        <v>37</v>
      </c>
      <c r="L18" t="s">
        <v>195</v>
      </c>
      <c r="M18" t="s">
        <v>196</v>
      </c>
      <c r="N18" t="s">
        <v>197</v>
      </c>
      <c r="O18" t="s">
        <v>198</v>
      </c>
    </row>
    <row r="19" spans="1:15" x14ac:dyDescent="0.25">
      <c r="A19" t="s">
        <v>154</v>
      </c>
      <c r="B19" t="s">
        <v>155</v>
      </c>
      <c r="F19" t="s">
        <v>33</v>
      </c>
      <c r="G19" s="17">
        <v>43454</v>
      </c>
      <c r="H19">
        <v>13.54</v>
      </c>
      <c r="I19">
        <v>15.06</v>
      </c>
      <c r="J19">
        <v>11.77</v>
      </c>
      <c r="K19">
        <v>13.75</v>
      </c>
      <c r="L19">
        <v>15</v>
      </c>
      <c r="M19">
        <v>2</v>
      </c>
      <c r="N19">
        <v>1</v>
      </c>
      <c r="O19">
        <v>0.98</v>
      </c>
    </row>
    <row r="20" spans="1:15" x14ac:dyDescent="0.25">
      <c r="A20" t="s">
        <v>156</v>
      </c>
      <c r="B20" t="s">
        <v>157</v>
      </c>
      <c r="F20" t="s">
        <v>33</v>
      </c>
      <c r="G20" s="17">
        <v>43453</v>
      </c>
      <c r="H20">
        <v>13.4</v>
      </c>
      <c r="I20">
        <v>14.93</v>
      </c>
      <c r="J20">
        <v>11.53</v>
      </c>
      <c r="K20">
        <v>13.45</v>
      </c>
      <c r="L20">
        <v>27</v>
      </c>
      <c r="M20">
        <v>17</v>
      </c>
      <c r="N20">
        <v>4</v>
      </c>
      <c r="O20">
        <v>3.86</v>
      </c>
    </row>
    <row r="21" spans="1:15" x14ac:dyDescent="0.25">
      <c r="A21" t="s">
        <v>158</v>
      </c>
      <c r="B21" t="s">
        <v>159</v>
      </c>
      <c r="F21" t="s">
        <v>33</v>
      </c>
      <c r="G21" s="17">
        <v>43452</v>
      </c>
      <c r="H21">
        <v>12.63</v>
      </c>
      <c r="I21">
        <v>14.18</v>
      </c>
      <c r="J21">
        <v>11.85</v>
      </c>
      <c r="K21">
        <v>12.58</v>
      </c>
      <c r="L21">
        <v>27</v>
      </c>
      <c r="M21">
        <v>4</v>
      </c>
      <c r="N21">
        <v>1</v>
      </c>
      <c r="O21">
        <v>1.27</v>
      </c>
    </row>
    <row r="22" spans="1:15" x14ac:dyDescent="0.25">
      <c r="A22" t="s">
        <v>160</v>
      </c>
      <c r="B22" t="s">
        <v>161</v>
      </c>
      <c r="F22" t="s">
        <v>32</v>
      </c>
      <c r="G22" s="17">
        <v>43177</v>
      </c>
      <c r="H22">
        <v>2.87</v>
      </c>
      <c r="I22">
        <v>3.11</v>
      </c>
      <c r="J22">
        <v>2.72</v>
      </c>
      <c r="K22">
        <v>2.88</v>
      </c>
      <c r="L22">
        <v>23</v>
      </c>
      <c r="M22">
        <v>14</v>
      </c>
      <c r="N22">
        <v>4</v>
      </c>
      <c r="O22">
        <v>4.75</v>
      </c>
    </row>
    <row r="23" spans="1:15" x14ac:dyDescent="0.25">
      <c r="A23" t="s">
        <v>162</v>
      </c>
      <c r="B23" t="s">
        <v>163</v>
      </c>
      <c r="F23" t="s">
        <v>32</v>
      </c>
      <c r="G23" s="17">
        <v>43269</v>
      </c>
      <c r="H23">
        <v>3.27</v>
      </c>
      <c r="I23">
        <v>3.76</v>
      </c>
      <c r="J23">
        <v>3.01</v>
      </c>
      <c r="K23">
        <v>3.28</v>
      </c>
      <c r="L23">
        <v>23</v>
      </c>
      <c r="M23">
        <v>15</v>
      </c>
      <c r="N23">
        <v>3</v>
      </c>
      <c r="O23">
        <v>5.15</v>
      </c>
    </row>
    <row r="24" spans="1:15" x14ac:dyDescent="0.25">
      <c r="A24" t="s">
        <v>164</v>
      </c>
      <c r="B24" t="s">
        <v>165</v>
      </c>
      <c r="F24" t="s">
        <v>32</v>
      </c>
      <c r="G24" s="17">
        <v>43361</v>
      </c>
      <c r="H24">
        <v>3.21</v>
      </c>
      <c r="I24">
        <v>3.42</v>
      </c>
      <c r="J24">
        <v>2.91</v>
      </c>
      <c r="K24">
        <v>3.23</v>
      </c>
      <c r="L24">
        <v>23</v>
      </c>
      <c r="M24">
        <v>1</v>
      </c>
      <c r="N24">
        <v>1</v>
      </c>
      <c r="O24">
        <v>0.09</v>
      </c>
    </row>
    <row r="25" spans="1:15" x14ac:dyDescent="0.25">
      <c r="A25" t="s">
        <v>166</v>
      </c>
      <c r="B25" t="s">
        <v>167</v>
      </c>
      <c r="F25" t="s">
        <v>32</v>
      </c>
      <c r="G25" s="17">
        <v>43452</v>
      </c>
      <c r="H25">
        <v>3.23</v>
      </c>
      <c r="I25">
        <v>3.67</v>
      </c>
      <c r="J25">
        <v>2.97</v>
      </c>
      <c r="K25">
        <v>3.23</v>
      </c>
      <c r="L25">
        <v>23</v>
      </c>
      <c r="M25">
        <v>1</v>
      </c>
      <c r="N25">
        <v>1</v>
      </c>
      <c r="O25">
        <v>0.19</v>
      </c>
    </row>
    <row r="26" spans="1:15" x14ac:dyDescent="0.25">
      <c r="A26" t="s">
        <v>168</v>
      </c>
      <c r="B26" t="s">
        <v>169</v>
      </c>
      <c r="F26" t="s">
        <v>199</v>
      </c>
      <c r="H26">
        <v>10.69</v>
      </c>
      <c r="I26">
        <v>16.46</v>
      </c>
      <c r="J26">
        <v>5</v>
      </c>
      <c r="K26">
        <v>10.6</v>
      </c>
      <c r="L26">
        <v>5</v>
      </c>
      <c r="M26">
        <v>0</v>
      </c>
      <c r="N26">
        <v>1</v>
      </c>
      <c r="O26">
        <v>-0.02</v>
      </c>
    </row>
    <row r="27" spans="1:15" x14ac:dyDescent="0.25">
      <c r="A27" t="s">
        <v>170</v>
      </c>
      <c r="B27" t="s">
        <v>171</v>
      </c>
    </row>
    <row r="28" spans="1:15" x14ac:dyDescent="0.25">
      <c r="A28" t="s">
        <v>172</v>
      </c>
      <c r="B28" t="s">
        <v>173</v>
      </c>
    </row>
    <row r="29" spans="1:15" x14ac:dyDescent="0.25">
      <c r="A29" t="s">
        <v>174</v>
      </c>
      <c r="B29" t="s">
        <v>175</v>
      </c>
    </row>
    <row r="30" spans="1:15" x14ac:dyDescent="0.25">
      <c r="A30" t="s">
        <v>176</v>
      </c>
      <c r="B30" t="s">
        <v>177</v>
      </c>
      <c r="F30" t="s">
        <v>204</v>
      </c>
      <c r="H30" t="s">
        <v>201</v>
      </c>
      <c r="I30" t="s">
        <v>202</v>
      </c>
      <c r="J30" t="s">
        <v>203</v>
      </c>
    </row>
    <row r="31" spans="1:15" x14ac:dyDescent="0.25">
      <c r="F31" t="s">
        <v>33</v>
      </c>
      <c r="G31" s="17">
        <v>43451</v>
      </c>
      <c r="H31">
        <v>10.62</v>
      </c>
      <c r="I31">
        <v>10.28</v>
      </c>
      <c r="J31">
        <v>3.32</v>
      </c>
    </row>
    <row r="32" spans="1:15" x14ac:dyDescent="0.25">
      <c r="F32" t="s">
        <v>33</v>
      </c>
      <c r="G32" s="17">
        <v>43450</v>
      </c>
      <c r="H32">
        <v>8.23</v>
      </c>
      <c r="I32">
        <v>8</v>
      </c>
      <c r="J32">
        <v>2.81</v>
      </c>
    </row>
    <row r="33" spans="6:15" x14ac:dyDescent="0.25">
      <c r="F33" t="s">
        <v>33</v>
      </c>
      <c r="G33" s="17">
        <v>43449</v>
      </c>
      <c r="H33">
        <v>8.93</v>
      </c>
      <c r="I33">
        <v>9.01</v>
      </c>
      <c r="J33">
        <v>-0.84</v>
      </c>
    </row>
    <row r="34" spans="6:15" x14ac:dyDescent="0.25">
      <c r="F34" t="s">
        <v>32</v>
      </c>
      <c r="G34" s="17">
        <v>43451</v>
      </c>
      <c r="H34">
        <v>3.03</v>
      </c>
      <c r="I34">
        <v>2.67</v>
      </c>
      <c r="J34">
        <v>13.3</v>
      </c>
    </row>
    <row r="35" spans="6:15" x14ac:dyDescent="0.25">
      <c r="F35" t="s">
        <v>32</v>
      </c>
      <c r="G35" s="17">
        <v>43360</v>
      </c>
      <c r="H35">
        <v>2.71</v>
      </c>
      <c r="I35">
        <v>2.46</v>
      </c>
      <c r="J35">
        <v>10.34</v>
      </c>
    </row>
    <row r="36" spans="6:15" x14ac:dyDescent="0.25">
      <c r="F36" t="s">
        <v>32</v>
      </c>
      <c r="G36" s="17">
        <v>43268</v>
      </c>
      <c r="H36">
        <v>2.5299999999999998</v>
      </c>
      <c r="I36">
        <v>2.58</v>
      </c>
      <c r="J36">
        <v>-1.84</v>
      </c>
    </row>
    <row r="37" spans="6:15" x14ac:dyDescent="0.25">
      <c r="F37" t="s">
        <v>32</v>
      </c>
      <c r="G37" s="17">
        <v>43176</v>
      </c>
      <c r="H37">
        <v>2.36</v>
      </c>
      <c r="I37">
        <v>1.81</v>
      </c>
      <c r="J37">
        <v>30.5</v>
      </c>
    </row>
    <row r="40" spans="6:15" x14ac:dyDescent="0.25">
      <c r="F40" t="s">
        <v>205</v>
      </c>
    </row>
    <row r="41" spans="6:15" x14ac:dyDescent="0.25">
      <c r="M41" t="s">
        <v>192</v>
      </c>
    </row>
    <row r="42" spans="6:15" x14ac:dyDescent="0.25">
      <c r="F42" t="s">
        <v>193</v>
      </c>
      <c r="H42" t="s">
        <v>194</v>
      </c>
      <c r="I42" t="s">
        <v>38</v>
      </c>
      <c r="J42" t="s">
        <v>36</v>
      </c>
      <c r="K42" t="s">
        <v>37</v>
      </c>
      <c r="L42" t="s">
        <v>195</v>
      </c>
      <c r="M42" t="s">
        <v>196</v>
      </c>
      <c r="N42" t="s">
        <v>197</v>
      </c>
      <c r="O42" t="s">
        <v>198</v>
      </c>
    </row>
    <row r="43" spans="6:15" x14ac:dyDescent="0.25">
      <c r="F43" t="s">
        <v>33</v>
      </c>
      <c r="G43" s="17">
        <v>43454</v>
      </c>
      <c r="H43">
        <v>2828.35</v>
      </c>
      <c r="I43">
        <v>3227</v>
      </c>
      <c r="J43">
        <v>2405</v>
      </c>
      <c r="K43">
        <v>2875.98</v>
      </c>
      <c r="L43">
        <v>13</v>
      </c>
      <c r="M43">
        <v>0</v>
      </c>
      <c r="N43">
        <v>2</v>
      </c>
      <c r="O43">
        <v>-2.04</v>
      </c>
    </row>
    <row r="44" spans="6:15" x14ac:dyDescent="0.25">
      <c r="F44" t="s">
        <v>33</v>
      </c>
      <c r="G44" s="17">
        <v>43453</v>
      </c>
      <c r="H44">
        <v>2849.69</v>
      </c>
      <c r="I44">
        <v>3089</v>
      </c>
      <c r="J44">
        <v>2466.13</v>
      </c>
      <c r="K44">
        <v>2875.5</v>
      </c>
      <c r="L44">
        <v>22</v>
      </c>
      <c r="M44">
        <v>1</v>
      </c>
      <c r="N44">
        <v>2</v>
      </c>
      <c r="O44">
        <v>-0.59</v>
      </c>
    </row>
    <row r="45" spans="6:15" x14ac:dyDescent="0.25">
      <c r="F45" t="s">
        <v>33</v>
      </c>
      <c r="G45" s="17">
        <v>43452</v>
      </c>
      <c r="H45">
        <v>2731.69</v>
      </c>
      <c r="I45">
        <v>2894</v>
      </c>
      <c r="J45">
        <v>2356.64</v>
      </c>
      <c r="K45">
        <v>2784.47</v>
      </c>
      <c r="L45">
        <v>22</v>
      </c>
      <c r="M45">
        <v>4</v>
      </c>
      <c r="N45">
        <v>1</v>
      </c>
      <c r="O45">
        <v>0.05</v>
      </c>
    </row>
    <row r="46" spans="6:15" x14ac:dyDescent="0.25">
      <c r="F46" t="s">
        <v>32</v>
      </c>
      <c r="G46" s="17">
        <v>43177</v>
      </c>
      <c r="H46">
        <v>622.12</v>
      </c>
      <c r="I46">
        <v>661</v>
      </c>
      <c r="J46">
        <v>516.64</v>
      </c>
      <c r="K46">
        <v>638</v>
      </c>
      <c r="L46">
        <v>17</v>
      </c>
      <c r="M46">
        <v>2</v>
      </c>
      <c r="N46">
        <v>4</v>
      </c>
      <c r="O46">
        <v>-0.75</v>
      </c>
    </row>
    <row r="47" spans="6:15" x14ac:dyDescent="0.25">
      <c r="F47" t="s">
        <v>32</v>
      </c>
      <c r="G47" s="17">
        <v>43269</v>
      </c>
      <c r="H47">
        <v>703</v>
      </c>
      <c r="I47">
        <v>769.5</v>
      </c>
      <c r="J47">
        <v>588.94000000000005</v>
      </c>
      <c r="K47">
        <v>714</v>
      </c>
      <c r="L47">
        <v>17</v>
      </c>
      <c r="M47">
        <v>4</v>
      </c>
      <c r="N47">
        <v>2</v>
      </c>
      <c r="O47">
        <v>-0.57999999999999996</v>
      </c>
    </row>
    <row r="48" spans="6:15" x14ac:dyDescent="0.25">
      <c r="F48" t="s">
        <v>32</v>
      </c>
      <c r="G48" s="17">
        <v>43361</v>
      </c>
      <c r="H48">
        <v>695.09</v>
      </c>
      <c r="I48">
        <v>746.3</v>
      </c>
      <c r="J48">
        <v>592</v>
      </c>
      <c r="K48">
        <v>707</v>
      </c>
      <c r="L48">
        <v>17</v>
      </c>
      <c r="M48">
        <v>0</v>
      </c>
      <c r="N48">
        <v>2</v>
      </c>
      <c r="O48">
        <v>-0.32</v>
      </c>
    </row>
    <row r="49" spans="6:15" x14ac:dyDescent="0.25">
      <c r="F49" t="s">
        <v>32</v>
      </c>
      <c r="G49" s="17">
        <v>43452</v>
      </c>
      <c r="H49">
        <v>702.83</v>
      </c>
      <c r="I49">
        <v>827</v>
      </c>
      <c r="J49">
        <v>619</v>
      </c>
      <c r="K49">
        <v>698.5</v>
      </c>
      <c r="L49">
        <v>17</v>
      </c>
      <c r="M49">
        <v>1</v>
      </c>
      <c r="N49">
        <v>1</v>
      </c>
      <c r="O49">
        <v>1.33</v>
      </c>
    </row>
    <row r="51" spans="6:15" x14ac:dyDescent="0.25">
      <c r="F51" t="s">
        <v>206</v>
      </c>
    </row>
    <row r="52" spans="6:15" x14ac:dyDescent="0.25">
      <c r="H52" t="s">
        <v>201</v>
      </c>
      <c r="I52" t="s">
        <v>202</v>
      </c>
      <c r="J52" t="s">
        <v>203</v>
      </c>
    </row>
    <row r="53" spans="6:15" x14ac:dyDescent="0.25">
      <c r="F53" t="s">
        <v>33</v>
      </c>
      <c r="G53" s="17">
        <v>43451</v>
      </c>
      <c r="H53">
        <v>2404</v>
      </c>
      <c r="I53">
        <v>2414.81</v>
      </c>
      <c r="J53">
        <v>-0.45</v>
      </c>
    </row>
    <row r="54" spans="6:15" x14ac:dyDescent="0.25">
      <c r="F54" t="s">
        <v>33</v>
      </c>
      <c r="G54" s="17">
        <v>43450</v>
      </c>
      <c r="H54">
        <v>1928</v>
      </c>
      <c r="I54">
        <v>1939.4</v>
      </c>
      <c r="J54">
        <v>-0.59</v>
      </c>
    </row>
    <row r="55" spans="6:15" x14ac:dyDescent="0.25">
      <c r="F55" t="s">
        <v>33</v>
      </c>
      <c r="G55" s="17">
        <v>43449</v>
      </c>
      <c r="H55">
        <v>2451</v>
      </c>
      <c r="I55">
        <v>2367.84</v>
      </c>
      <c r="J55">
        <v>3.51</v>
      </c>
    </row>
    <row r="56" spans="6:15" x14ac:dyDescent="0.25">
      <c r="F56" t="s">
        <v>32</v>
      </c>
      <c r="G56" s="17">
        <v>43451</v>
      </c>
      <c r="H56">
        <v>634</v>
      </c>
      <c r="I56">
        <v>618.84</v>
      </c>
      <c r="J56">
        <v>2.4500000000000002</v>
      </c>
    </row>
    <row r="57" spans="6:15" x14ac:dyDescent="0.25">
      <c r="F57" t="s">
        <v>32</v>
      </c>
      <c r="G57" s="17">
        <v>43360</v>
      </c>
      <c r="H57">
        <v>629</v>
      </c>
      <c r="I57">
        <v>567.5</v>
      </c>
      <c r="J57">
        <v>10.84</v>
      </c>
    </row>
    <row r="58" spans="6:15" x14ac:dyDescent="0.25">
      <c r="F58" t="s">
        <v>32</v>
      </c>
      <c r="G58" s="17">
        <v>43268</v>
      </c>
      <c r="H58">
        <v>595</v>
      </c>
      <c r="I58">
        <v>599.91999999999996</v>
      </c>
      <c r="J58">
        <v>-0.82</v>
      </c>
    </row>
    <row r="59" spans="6:15" x14ac:dyDescent="0.25">
      <c r="F59" t="s">
        <v>32</v>
      </c>
      <c r="G59" s="17">
        <v>43176</v>
      </c>
      <c r="H59">
        <v>546</v>
      </c>
      <c r="I59">
        <v>435.76</v>
      </c>
      <c r="J59">
        <v>25.3</v>
      </c>
    </row>
    <row r="61" spans="6:15" x14ac:dyDescent="0.25">
      <c r="F61" t="s">
        <v>207</v>
      </c>
    </row>
    <row r="62" spans="6:15" x14ac:dyDescent="0.25">
      <c r="M62" t="s">
        <v>192</v>
      </c>
    </row>
    <row r="63" spans="6:15" x14ac:dyDescent="0.25">
      <c r="F63" t="s">
        <v>193</v>
      </c>
      <c r="H63" t="s">
        <v>194</v>
      </c>
      <c r="I63" t="s">
        <v>38</v>
      </c>
      <c r="J63" t="s">
        <v>36</v>
      </c>
      <c r="K63" t="s">
        <v>37</v>
      </c>
      <c r="L63" t="s">
        <v>195</v>
      </c>
      <c r="M63" t="s">
        <v>196</v>
      </c>
      <c r="N63" t="s">
        <v>197</v>
      </c>
      <c r="O63" t="s">
        <v>198</v>
      </c>
    </row>
    <row r="64" spans="6:15" x14ac:dyDescent="0.25">
      <c r="F64" t="s">
        <v>33</v>
      </c>
      <c r="G64" s="17">
        <v>43454</v>
      </c>
      <c r="H64">
        <v>3502.16</v>
      </c>
      <c r="I64">
        <v>3792</v>
      </c>
      <c r="J64">
        <v>3063</v>
      </c>
      <c r="K64">
        <v>3573.99</v>
      </c>
      <c r="L64">
        <v>12</v>
      </c>
      <c r="M64">
        <v>3</v>
      </c>
      <c r="N64">
        <v>0</v>
      </c>
      <c r="O64">
        <v>-0.64</v>
      </c>
    </row>
    <row r="65" spans="6:15" x14ac:dyDescent="0.25">
      <c r="F65" t="s">
        <v>33</v>
      </c>
      <c r="G65" s="17">
        <v>43453</v>
      </c>
      <c r="H65">
        <v>3547.3</v>
      </c>
      <c r="I65">
        <v>3771</v>
      </c>
      <c r="J65">
        <v>3115.49</v>
      </c>
      <c r="K65">
        <v>3603</v>
      </c>
      <c r="L65">
        <v>22</v>
      </c>
      <c r="M65">
        <v>13</v>
      </c>
      <c r="N65">
        <v>1</v>
      </c>
      <c r="O65">
        <v>2.1800000000000002</v>
      </c>
    </row>
    <row r="66" spans="6:15" x14ac:dyDescent="0.25">
      <c r="F66" t="s">
        <v>33</v>
      </c>
      <c r="G66" s="17">
        <v>43452</v>
      </c>
      <c r="H66">
        <v>3420.3</v>
      </c>
      <c r="I66">
        <v>3538.65</v>
      </c>
      <c r="J66">
        <v>2965</v>
      </c>
      <c r="K66">
        <v>3466.77</v>
      </c>
      <c r="L66">
        <v>22</v>
      </c>
      <c r="M66">
        <v>3</v>
      </c>
      <c r="N66">
        <v>1</v>
      </c>
      <c r="O66">
        <v>0.52</v>
      </c>
    </row>
    <row r="67" spans="6:15" x14ac:dyDescent="0.25">
      <c r="F67" t="s">
        <v>32</v>
      </c>
      <c r="G67" s="17">
        <v>43177</v>
      </c>
      <c r="H67">
        <v>793.84</v>
      </c>
      <c r="I67">
        <v>855</v>
      </c>
      <c r="J67">
        <v>667.26</v>
      </c>
      <c r="K67">
        <v>812.3</v>
      </c>
      <c r="L67">
        <v>15</v>
      </c>
      <c r="M67">
        <v>6</v>
      </c>
      <c r="N67">
        <v>1</v>
      </c>
      <c r="O67">
        <v>6.57</v>
      </c>
    </row>
    <row r="68" spans="6:15" x14ac:dyDescent="0.25">
      <c r="F68" t="s">
        <v>32</v>
      </c>
      <c r="G68" s="17">
        <v>43269</v>
      </c>
      <c r="H68">
        <v>871.12</v>
      </c>
      <c r="I68">
        <v>909.2</v>
      </c>
      <c r="J68">
        <v>746.05</v>
      </c>
      <c r="K68">
        <v>885.8</v>
      </c>
      <c r="L68">
        <v>15</v>
      </c>
      <c r="M68">
        <v>6</v>
      </c>
      <c r="N68">
        <v>1</v>
      </c>
      <c r="O68">
        <v>5.18</v>
      </c>
    </row>
    <row r="69" spans="6:15" x14ac:dyDescent="0.25">
      <c r="F69" t="s">
        <v>32</v>
      </c>
      <c r="G69" s="17">
        <v>43361</v>
      </c>
      <c r="H69">
        <v>863.16</v>
      </c>
      <c r="I69">
        <v>914</v>
      </c>
      <c r="J69">
        <v>758</v>
      </c>
      <c r="K69">
        <v>874</v>
      </c>
      <c r="L69">
        <v>15</v>
      </c>
      <c r="M69">
        <v>6</v>
      </c>
      <c r="N69">
        <v>1</v>
      </c>
      <c r="O69">
        <v>5.42</v>
      </c>
    </row>
    <row r="70" spans="6:15" x14ac:dyDescent="0.25">
      <c r="F70" t="s">
        <v>32</v>
      </c>
      <c r="G70" s="17">
        <v>43452</v>
      </c>
      <c r="H70">
        <v>866.5</v>
      </c>
      <c r="I70">
        <v>905.53</v>
      </c>
      <c r="J70">
        <v>771</v>
      </c>
      <c r="K70">
        <v>879</v>
      </c>
      <c r="L70">
        <v>15</v>
      </c>
      <c r="M70">
        <v>7</v>
      </c>
      <c r="N70">
        <v>0</v>
      </c>
      <c r="O70">
        <v>5.94</v>
      </c>
    </row>
    <row r="72" spans="6:15" x14ac:dyDescent="0.25">
      <c r="F72" t="s">
        <v>208</v>
      </c>
    </row>
    <row r="73" spans="6:15" x14ac:dyDescent="0.25">
      <c r="H73" t="s">
        <v>201</v>
      </c>
      <c r="I73" t="s">
        <v>202</v>
      </c>
      <c r="J73" t="s">
        <v>203</v>
      </c>
    </row>
    <row r="74" spans="6:15" x14ac:dyDescent="0.25">
      <c r="F74" t="s">
        <v>33</v>
      </c>
      <c r="G74" s="17">
        <v>43451</v>
      </c>
      <c r="H74">
        <v>3026</v>
      </c>
      <c r="I74">
        <v>2979.86</v>
      </c>
      <c r="J74">
        <v>1.55</v>
      </c>
    </row>
    <row r="75" spans="6:15" x14ac:dyDescent="0.25">
      <c r="F75" t="s">
        <v>33</v>
      </c>
      <c r="G75" s="17">
        <v>43450</v>
      </c>
      <c r="H75">
        <v>2455</v>
      </c>
      <c r="I75">
        <v>2455.17</v>
      </c>
      <c r="J75">
        <v>-0.01</v>
      </c>
    </row>
    <row r="76" spans="6:15" x14ac:dyDescent="0.25">
      <c r="F76" t="s">
        <v>33</v>
      </c>
      <c r="G76" s="17">
        <v>43449</v>
      </c>
      <c r="H76">
        <v>2962</v>
      </c>
      <c r="I76">
        <v>2891.57</v>
      </c>
      <c r="J76">
        <v>2.44</v>
      </c>
    </row>
    <row r="77" spans="6:15" x14ac:dyDescent="0.25">
      <c r="F77" t="s">
        <v>32</v>
      </c>
      <c r="G77" s="17">
        <v>43451</v>
      </c>
      <c r="H77">
        <v>769</v>
      </c>
      <c r="I77">
        <v>757.97</v>
      </c>
      <c r="J77">
        <v>1.46</v>
      </c>
    </row>
    <row r="78" spans="6:15" x14ac:dyDescent="0.25">
      <c r="F78" t="s">
        <v>32</v>
      </c>
      <c r="G78" s="17">
        <v>43360</v>
      </c>
      <c r="H78">
        <v>789</v>
      </c>
      <c r="I78">
        <v>716.18</v>
      </c>
      <c r="J78">
        <v>10.17</v>
      </c>
    </row>
    <row r="79" spans="6:15" x14ac:dyDescent="0.25">
      <c r="F79" t="s">
        <v>32</v>
      </c>
      <c r="G79" s="17">
        <v>43268</v>
      </c>
      <c r="H79">
        <v>765</v>
      </c>
      <c r="I79">
        <v>736.17</v>
      </c>
      <c r="J79">
        <v>3.92</v>
      </c>
    </row>
    <row r="80" spans="6:15" x14ac:dyDescent="0.25">
      <c r="F80" t="s">
        <v>32</v>
      </c>
      <c r="G80" s="17">
        <v>43176</v>
      </c>
      <c r="H80">
        <v>705</v>
      </c>
      <c r="I80">
        <v>557.94000000000005</v>
      </c>
      <c r="J80">
        <v>26.36</v>
      </c>
    </row>
    <row r="82" spans="6:15" x14ac:dyDescent="0.25">
      <c r="F82" t="s">
        <v>209</v>
      </c>
    </row>
    <row r="83" spans="6:15" x14ac:dyDescent="0.25">
      <c r="M83" t="s">
        <v>192</v>
      </c>
    </row>
    <row r="84" spans="6:15" x14ac:dyDescent="0.25">
      <c r="F84" t="s">
        <v>193</v>
      </c>
      <c r="H84" t="s">
        <v>194</v>
      </c>
      <c r="I84" t="s">
        <v>38</v>
      </c>
      <c r="J84" t="s">
        <v>36</v>
      </c>
      <c r="K84" t="s">
        <v>37</v>
      </c>
      <c r="L84" t="s">
        <v>195</v>
      </c>
      <c r="M84" t="s">
        <v>196</v>
      </c>
      <c r="N84" t="s">
        <v>197</v>
      </c>
      <c r="O84" t="s">
        <v>198</v>
      </c>
    </row>
    <row r="85" spans="6:15" x14ac:dyDescent="0.25">
      <c r="F85" t="s">
        <v>33</v>
      </c>
      <c r="G85" s="17">
        <v>43454</v>
      </c>
      <c r="H85">
        <v>22637.52</v>
      </c>
      <c r="I85">
        <v>24015</v>
      </c>
      <c r="J85">
        <v>20499.11</v>
      </c>
      <c r="K85">
        <v>22690.44</v>
      </c>
      <c r="L85">
        <v>12</v>
      </c>
      <c r="M85">
        <v>2</v>
      </c>
      <c r="N85">
        <v>1</v>
      </c>
      <c r="O85">
        <v>1.27</v>
      </c>
    </row>
    <row r="86" spans="6:15" x14ac:dyDescent="0.25">
      <c r="F86" t="s">
        <v>33</v>
      </c>
      <c r="G86" s="17">
        <v>43453</v>
      </c>
      <c r="H86">
        <v>22598.83</v>
      </c>
      <c r="I86">
        <v>23695.25</v>
      </c>
      <c r="J86">
        <v>20492</v>
      </c>
      <c r="K86">
        <v>22577</v>
      </c>
      <c r="L86">
        <v>23</v>
      </c>
      <c r="M86">
        <v>11</v>
      </c>
      <c r="N86">
        <v>4</v>
      </c>
      <c r="O86">
        <v>0.9</v>
      </c>
    </row>
    <row r="87" spans="6:15" x14ac:dyDescent="0.25">
      <c r="F87" t="s">
        <v>33</v>
      </c>
      <c r="G87" s="17">
        <v>43452</v>
      </c>
      <c r="H87">
        <v>21986.13</v>
      </c>
      <c r="I87">
        <v>22700</v>
      </c>
      <c r="J87">
        <v>21007.79</v>
      </c>
      <c r="K87">
        <v>21931.599999999999</v>
      </c>
      <c r="L87">
        <v>23</v>
      </c>
      <c r="M87">
        <v>19</v>
      </c>
      <c r="N87">
        <v>2</v>
      </c>
      <c r="O87">
        <v>2.21</v>
      </c>
    </row>
    <row r="88" spans="6:15" x14ac:dyDescent="0.25">
      <c r="F88" t="s">
        <v>32</v>
      </c>
      <c r="G88" s="17">
        <v>43177</v>
      </c>
      <c r="H88">
        <v>5134.45</v>
      </c>
      <c r="I88">
        <v>5435</v>
      </c>
      <c r="J88">
        <v>4955</v>
      </c>
      <c r="K88">
        <v>5120.4799999999996</v>
      </c>
      <c r="L88">
        <v>20</v>
      </c>
      <c r="M88">
        <v>12</v>
      </c>
      <c r="N88">
        <v>2</v>
      </c>
      <c r="O88">
        <v>1.79</v>
      </c>
    </row>
    <row r="89" spans="6:15" x14ac:dyDescent="0.25">
      <c r="F89" t="s">
        <v>32</v>
      </c>
      <c r="G89" s="17">
        <v>43269</v>
      </c>
      <c r="H89">
        <v>5547.87</v>
      </c>
      <c r="I89">
        <v>5815</v>
      </c>
      <c r="J89">
        <v>5395.48</v>
      </c>
      <c r="K89">
        <v>5516.68</v>
      </c>
      <c r="L89">
        <v>20</v>
      </c>
      <c r="M89">
        <v>13</v>
      </c>
      <c r="N89">
        <v>2</v>
      </c>
      <c r="O89">
        <v>1.59</v>
      </c>
    </row>
    <row r="90" spans="6:15" x14ac:dyDescent="0.25">
      <c r="F90" t="s">
        <v>32</v>
      </c>
      <c r="G90" s="17">
        <v>43361</v>
      </c>
      <c r="H90">
        <v>5546.89</v>
      </c>
      <c r="I90">
        <v>5733</v>
      </c>
      <c r="J90">
        <v>5163.46</v>
      </c>
      <c r="K90">
        <v>5559.5</v>
      </c>
      <c r="L90">
        <v>20</v>
      </c>
      <c r="M90">
        <v>9</v>
      </c>
      <c r="N90">
        <v>6</v>
      </c>
      <c r="O90">
        <v>1.05</v>
      </c>
    </row>
    <row r="91" spans="6:15" x14ac:dyDescent="0.25">
      <c r="F91" t="s">
        <v>32</v>
      </c>
      <c r="G91" s="17">
        <v>43452</v>
      </c>
      <c r="H91">
        <v>5745.43</v>
      </c>
      <c r="I91">
        <v>6105</v>
      </c>
      <c r="J91">
        <v>5323.3</v>
      </c>
      <c r="K91">
        <v>5735.4</v>
      </c>
      <c r="L91">
        <v>20</v>
      </c>
      <c r="M91">
        <v>13</v>
      </c>
      <c r="N91">
        <v>1</v>
      </c>
      <c r="O91">
        <v>3.64</v>
      </c>
    </row>
    <row r="93" spans="6:15" x14ac:dyDescent="0.25">
      <c r="F93" t="s">
        <v>210</v>
      </c>
    </row>
    <row r="94" spans="6:15" x14ac:dyDescent="0.25">
      <c r="H94" t="s">
        <v>201</v>
      </c>
      <c r="I94" t="s">
        <v>202</v>
      </c>
      <c r="J94" t="s">
        <v>203</v>
      </c>
    </row>
    <row r="95" spans="6:15" x14ac:dyDescent="0.25">
      <c r="F95" t="s">
        <v>33</v>
      </c>
      <c r="G95" s="17">
        <v>43451</v>
      </c>
      <c r="H95">
        <v>20428</v>
      </c>
      <c r="I95">
        <v>20131.25</v>
      </c>
      <c r="J95">
        <v>1.47</v>
      </c>
    </row>
    <row r="96" spans="6:15" x14ac:dyDescent="0.25">
      <c r="F96" t="s">
        <v>33</v>
      </c>
      <c r="G96" s="17">
        <v>43450</v>
      </c>
      <c r="H96">
        <v>17509</v>
      </c>
      <c r="I96">
        <v>17340.27</v>
      </c>
      <c r="J96">
        <v>0.97</v>
      </c>
    </row>
    <row r="97" spans="6:10" x14ac:dyDescent="0.25">
      <c r="F97" t="s">
        <v>33</v>
      </c>
      <c r="G97" s="17">
        <v>43449</v>
      </c>
      <c r="H97">
        <v>19110</v>
      </c>
      <c r="I97">
        <v>19049.55</v>
      </c>
      <c r="J97">
        <v>0.32</v>
      </c>
    </row>
    <row r="98" spans="6:10" x14ac:dyDescent="0.25">
      <c r="F98" t="s">
        <v>32</v>
      </c>
      <c r="G98" s="17">
        <v>43451</v>
      </c>
      <c r="H98">
        <v>5476</v>
      </c>
      <c r="I98">
        <v>5235.3100000000004</v>
      </c>
      <c r="J98">
        <v>4.5999999999999996</v>
      </c>
    </row>
    <row r="99" spans="6:10" x14ac:dyDescent="0.25">
      <c r="F99" t="s">
        <v>32</v>
      </c>
      <c r="G99" s="17">
        <v>43360</v>
      </c>
      <c r="H99">
        <v>5285</v>
      </c>
      <c r="I99">
        <v>4784.97</v>
      </c>
      <c r="J99">
        <v>10.45</v>
      </c>
    </row>
    <row r="100" spans="6:10" x14ac:dyDescent="0.25">
      <c r="F100" t="s">
        <v>32</v>
      </c>
      <c r="G100" s="17">
        <v>43268</v>
      </c>
      <c r="H100">
        <v>5078</v>
      </c>
      <c r="I100">
        <v>4797.8999999999996</v>
      </c>
      <c r="J100">
        <v>5.84</v>
      </c>
    </row>
    <row r="101" spans="6:10" x14ac:dyDescent="0.25">
      <c r="F101" t="s">
        <v>32</v>
      </c>
      <c r="G101" s="17">
        <v>43176</v>
      </c>
      <c r="H101">
        <v>4589</v>
      </c>
      <c r="I101">
        <v>4153.43</v>
      </c>
      <c r="J101">
        <v>10.49</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60D3E-F871-46A1-ABDD-906CB88B34E1}">
  <sheetPr codeName="Sheet1">
    <tabColor theme="5" tint="0.39997558519241921"/>
  </sheetPr>
  <dimension ref="B1:AF115"/>
  <sheetViews>
    <sheetView zoomScale="80" zoomScaleNormal="80" workbookViewId="0"/>
  </sheetViews>
  <sheetFormatPr defaultRowHeight="15" x14ac:dyDescent="0.25"/>
  <cols>
    <col min="1" max="1" width="15.85546875" bestFit="1" customWidth="1"/>
    <col min="2" max="2" width="22.7109375" style="60" bestFit="1" customWidth="1"/>
    <col min="3" max="3" width="8.7109375" style="61"/>
    <col min="5" max="5" width="15.5703125" style="60" bestFit="1" customWidth="1"/>
    <col min="6" max="6" width="8.7109375" style="61"/>
    <col min="8" max="8" width="19.140625" style="60" bestFit="1" customWidth="1"/>
    <col min="9" max="9" width="8.7109375" style="61"/>
    <col min="21" max="21" width="49.28515625" bestFit="1" customWidth="1"/>
  </cols>
  <sheetData>
    <row r="1" spans="2:32" x14ac:dyDescent="0.25">
      <c r="B1" s="56"/>
      <c r="C1" s="57"/>
      <c r="E1" s="56"/>
      <c r="F1" s="57"/>
      <c r="H1" s="56"/>
      <c r="I1" s="57"/>
    </row>
    <row r="2" spans="2:32" x14ac:dyDescent="0.25">
      <c r="B2" s="58" t="s">
        <v>73</v>
      </c>
      <c r="C2" s="59"/>
      <c r="D2" s="55"/>
      <c r="E2" s="58" t="s">
        <v>74</v>
      </c>
      <c r="F2" s="59"/>
      <c r="G2" s="55"/>
      <c r="H2" s="58" t="s">
        <v>22</v>
      </c>
      <c r="I2" s="59"/>
    </row>
    <row r="4" spans="2:32" x14ac:dyDescent="0.25">
      <c r="B4" s="512" t="s">
        <v>104</v>
      </c>
      <c r="C4" s="512"/>
      <c r="D4" s="512"/>
      <c r="E4" s="512"/>
      <c r="F4" s="512"/>
      <c r="G4" s="512"/>
      <c r="H4" s="512"/>
      <c r="I4" s="512"/>
    </row>
    <row r="5" spans="2:32" x14ac:dyDescent="0.25">
      <c r="B5" s="60" t="s">
        <v>65</v>
      </c>
      <c r="E5" s="60" t="s">
        <v>46</v>
      </c>
      <c r="F5" s="61">
        <f>'N9 Debt'!H20</f>
        <v>1588</v>
      </c>
      <c r="H5" s="60" t="s">
        <v>95</v>
      </c>
      <c r="I5" s="61">
        <f>'Cash Flow (Y)'!I74</f>
        <v>1120</v>
      </c>
      <c r="U5" t="s">
        <v>534</v>
      </c>
    </row>
    <row r="6" spans="2:32" x14ac:dyDescent="0.25">
      <c r="B6" s="60" t="s">
        <v>72</v>
      </c>
      <c r="C6" s="61">
        <f>'Income Statement (Y)'!H2</f>
        <v>20428</v>
      </c>
      <c r="E6" s="60" t="s">
        <v>67</v>
      </c>
      <c r="F6" s="61">
        <f>'Balance Sheet (Y)'!H56</f>
        <v>9911</v>
      </c>
      <c r="H6" s="60" t="s">
        <v>96</v>
      </c>
      <c r="I6" s="61">
        <f>'Cash Flow (Y)'!H74</f>
        <v>1369</v>
      </c>
      <c r="U6" t="s">
        <v>535</v>
      </c>
    </row>
    <row r="7" spans="2:32" x14ac:dyDescent="0.25">
      <c r="B7" s="60" t="s">
        <v>75</v>
      </c>
      <c r="C7" s="61">
        <f>'Income Statement (Y)'!H3</f>
        <v>15338</v>
      </c>
      <c r="E7" s="60" t="s">
        <v>70</v>
      </c>
      <c r="F7" s="61">
        <f>F8-F6</f>
        <v>8164</v>
      </c>
      <c r="H7" s="60" t="s">
        <v>97</v>
      </c>
      <c r="I7" s="61">
        <f>'Balance Sheet (Y)'!H6</f>
        <v>198</v>
      </c>
      <c r="V7" t="s">
        <v>536</v>
      </c>
      <c r="W7" t="s">
        <v>537</v>
      </c>
      <c r="X7" t="s">
        <v>538</v>
      </c>
      <c r="Y7" t="s">
        <v>539</v>
      </c>
      <c r="Z7" t="s">
        <v>540</v>
      </c>
      <c r="AA7" t="s">
        <v>541</v>
      </c>
      <c r="AB7" t="s">
        <v>542</v>
      </c>
      <c r="AC7" t="s">
        <v>543</v>
      </c>
      <c r="AD7" t="s">
        <v>544</v>
      </c>
      <c r="AE7" t="s">
        <v>545</v>
      </c>
      <c r="AF7" t="s">
        <v>546</v>
      </c>
    </row>
    <row r="8" spans="2:32" x14ac:dyDescent="0.25">
      <c r="B8" s="60" t="s">
        <v>103</v>
      </c>
      <c r="C8" s="61">
        <f>'Income Statement (Y)'!H18</f>
        <v>2365</v>
      </c>
      <c r="E8" s="60" t="s">
        <v>6</v>
      </c>
      <c r="F8" s="61">
        <f>'Balance Sheet (Y)'!H2</f>
        <v>18075</v>
      </c>
      <c r="U8" t="s">
        <v>547</v>
      </c>
      <c r="V8" s="108">
        <v>14342</v>
      </c>
      <c r="W8" s="108">
        <v>10800</v>
      </c>
      <c r="X8" s="108">
        <v>13226</v>
      </c>
      <c r="Y8" s="108">
        <v>18048</v>
      </c>
      <c r="Z8" s="108">
        <v>17334</v>
      </c>
      <c r="AA8" s="108">
        <v>17301</v>
      </c>
      <c r="AB8" s="108">
        <v>19221</v>
      </c>
      <c r="AC8" s="108">
        <v>19110</v>
      </c>
      <c r="AD8" s="108">
        <v>17509</v>
      </c>
      <c r="AE8" s="108">
        <v>20428</v>
      </c>
      <c r="AF8" s="108">
        <v>20428</v>
      </c>
    </row>
    <row r="9" spans="2:32" x14ac:dyDescent="0.25">
      <c r="H9" s="60" t="s">
        <v>9</v>
      </c>
      <c r="I9" s="61">
        <f>'Cash Flow (Y)'!H6</f>
        <v>583</v>
      </c>
      <c r="U9" t="s">
        <v>548</v>
      </c>
      <c r="V9">
        <v>20.5</v>
      </c>
      <c r="W9">
        <v>20.100000000000001</v>
      </c>
      <c r="X9">
        <v>24</v>
      </c>
      <c r="Y9">
        <v>25.4</v>
      </c>
      <c r="Z9">
        <v>25.5</v>
      </c>
      <c r="AA9">
        <v>24.7</v>
      </c>
      <c r="AB9">
        <v>25.3</v>
      </c>
      <c r="AC9">
        <v>25.9</v>
      </c>
      <c r="AD9">
        <v>25.4</v>
      </c>
      <c r="AE9">
        <v>24.9</v>
      </c>
      <c r="AF9">
        <v>24.9</v>
      </c>
    </row>
    <row r="10" spans="2:32" x14ac:dyDescent="0.25">
      <c r="E10" s="60" t="s">
        <v>3</v>
      </c>
      <c r="F10" s="61">
        <f>'Balance Sheet (Y)'!H3</f>
        <v>8928</v>
      </c>
      <c r="H10" s="60" t="s">
        <v>113</v>
      </c>
      <c r="U10" t="s">
        <v>549</v>
      </c>
      <c r="V10" s="108">
        <v>1272</v>
      </c>
      <c r="W10">
        <v>682</v>
      </c>
      <c r="X10" s="108">
        <v>1602</v>
      </c>
      <c r="Y10" s="108">
        <v>2681</v>
      </c>
      <c r="Z10" s="108">
        <v>2254</v>
      </c>
      <c r="AA10" s="108">
        <v>2101</v>
      </c>
      <c r="AB10" s="108">
        <v>2365</v>
      </c>
      <c r="AC10" s="108">
        <v>2057</v>
      </c>
      <c r="AD10" s="108">
        <v>1928</v>
      </c>
      <c r="AE10" s="108">
        <v>2365</v>
      </c>
      <c r="AF10" s="108">
        <v>2365</v>
      </c>
    </row>
    <row r="11" spans="2:32" x14ac:dyDescent="0.25">
      <c r="B11" s="60" t="s">
        <v>111</v>
      </c>
      <c r="C11" s="61">
        <f>'Income Statement (Y)'!H21</f>
        <v>63</v>
      </c>
      <c r="E11" s="60" t="s">
        <v>7</v>
      </c>
      <c r="F11" s="61">
        <f>'Balance Sheet (Y)'!H57</f>
        <v>5677</v>
      </c>
      <c r="U11" t="s">
        <v>550</v>
      </c>
      <c r="V11">
        <v>8.9</v>
      </c>
      <c r="W11">
        <v>6.3</v>
      </c>
      <c r="X11">
        <v>12.1</v>
      </c>
      <c r="Y11">
        <v>14.9</v>
      </c>
      <c r="Z11">
        <v>13</v>
      </c>
      <c r="AA11">
        <v>12.1</v>
      </c>
      <c r="AB11">
        <v>12.3</v>
      </c>
      <c r="AC11">
        <v>10.8</v>
      </c>
      <c r="AD11">
        <v>11</v>
      </c>
      <c r="AE11">
        <v>11.6</v>
      </c>
      <c r="AF11">
        <v>11.6</v>
      </c>
    </row>
    <row r="12" spans="2:32" x14ac:dyDescent="0.25">
      <c r="B12" s="60" t="s">
        <v>112</v>
      </c>
      <c r="C12" s="61">
        <f>'Income Statement (Y)'!H31</f>
        <v>1371</v>
      </c>
      <c r="E12" s="60" t="s">
        <v>68</v>
      </c>
      <c r="F12" s="61">
        <f>'Balance Sheet (Y)'!H15</f>
        <v>3166</v>
      </c>
      <c r="H12" s="60" t="s">
        <v>116</v>
      </c>
      <c r="I12" s="61">
        <f>-('Cash Flow (Y)'!H47+'Cash Flow (Y)'!H48)</f>
        <v>587</v>
      </c>
      <c r="U12" t="s">
        <v>551</v>
      </c>
      <c r="V12">
        <v>755</v>
      </c>
      <c r="W12">
        <v>428</v>
      </c>
      <c r="X12" s="108">
        <v>1040</v>
      </c>
      <c r="Y12" s="108">
        <v>1848</v>
      </c>
      <c r="Z12" s="108">
        <v>1645</v>
      </c>
      <c r="AA12" s="108">
        <v>1483</v>
      </c>
      <c r="AB12" s="108">
        <v>1651</v>
      </c>
      <c r="AC12" s="108">
        <v>1399</v>
      </c>
      <c r="AD12" s="108">
        <v>1394</v>
      </c>
      <c r="AE12">
        <v>999</v>
      </c>
      <c r="AF12">
        <v>999</v>
      </c>
    </row>
    <row r="13" spans="2:32" x14ac:dyDescent="0.25">
      <c r="U13" t="s">
        <v>552</v>
      </c>
      <c r="V13">
        <v>3.84</v>
      </c>
      <c r="W13">
        <v>2.16</v>
      </c>
      <c r="X13">
        <v>5.28</v>
      </c>
      <c r="Y13">
        <v>9.5500000000000007</v>
      </c>
      <c r="Z13">
        <v>8.67</v>
      </c>
      <c r="AA13">
        <v>7.91</v>
      </c>
      <c r="AB13">
        <v>9.02</v>
      </c>
      <c r="AC13">
        <v>7.84</v>
      </c>
      <c r="AD13">
        <v>8.23</v>
      </c>
      <c r="AE13">
        <v>5.97</v>
      </c>
      <c r="AF13">
        <v>5.97</v>
      </c>
    </row>
    <row r="14" spans="2:32" x14ac:dyDescent="0.25">
      <c r="U14" t="s">
        <v>553</v>
      </c>
      <c r="V14">
        <v>0.6</v>
      </c>
      <c r="W14">
        <v>0.7</v>
      </c>
      <c r="X14">
        <v>0.88</v>
      </c>
      <c r="Y14">
        <v>1.32</v>
      </c>
      <c r="Z14">
        <v>1.8</v>
      </c>
      <c r="AA14">
        <v>2.25</v>
      </c>
      <c r="AB14">
        <v>2.81</v>
      </c>
      <c r="AC14">
        <v>3.51</v>
      </c>
      <c r="AD14">
        <v>4</v>
      </c>
      <c r="AE14">
        <v>4.21</v>
      </c>
      <c r="AF14">
        <v>4.21</v>
      </c>
    </row>
    <row r="15" spans="2:32" x14ac:dyDescent="0.25">
      <c r="U15" t="s">
        <v>554</v>
      </c>
      <c r="V15">
        <v>15.6</v>
      </c>
      <c r="W15">
        <v>32.4</v>
      </c>
      <c r="X15">
        <v>16.600000000000001</v>
      </c>
      <c r="Y15">
        <v>13.9</v>
      </c>
      <c r="Z15">
        <v>20.8</v>
      </c>
      <c r="AA15">
        <v>28.1</v>
      </c>
      <c r="AB15">
        <v>29.9</v>
      </c>
      <c r="AC15">
        <v>35.5</v>
      </c>
      <c r="AD15">
        <v>57</v>
      </c>
      <c r="AE15">
        <v>42.2</v>
      </c>
      <c r="AF15">
        <v>70.5</v>
      </c>
    </row>
    <row r="16" spans="2:32" x14ac:dyDescent="0.25">
      <c r="B16" s="512" t="s">
        <v>84</v>
      </c>
      <c r="C16" s="512"/>
      <c r="D16" s="512"/>
      <c r="E16" s="512"/>
      <c r="F16" s="512"/>
      <c r="G16" s="512"/>
      <c r="H16" s="512"/>
      <c r="I16" s="512"/>
      <c r="U16" t="s">
        <v>555</v>
      </c>
      <c r="V16">
        <v>197</v>
      </c>
      <c r="W16">
        <v>198</v>
      </c>
      <c r="X16">
        <v>197</v>
      </c>
      <c r="Y16">
        <v>194</v>
      </c>
      <c r="Z16">
        <v>190</v>
      </c>
      <c r="AA16">
        <v>187</v>
      </c>
      <c r="AB16">
        <v>183</v>
      </c>
      <c r="AC16">
        <v>178</v>
      </c>
      <c r="AD16">
        <v>169</v>
      </c>
      <c r="AE16">
        <v>167</v>
      </c>
      <c r="AF16">
        <v>167</v>
      </c>
    </row>
    <row r="17" spans="2:32" x14ac:dyDescent="0.25">
      <c r="B17" s="60" t="s">
        <v>69</v>
      </c>
      <c r="C17" s="61">
        <f>'Income Statement (Y)'!H38</f>
        <v>999</v>
      </c>
      <c r="E17" s="60" t="s">
        <v>82</v>
      </c>
      <c r="F17" s="61">
        <f>AVERAGE('Balance Sheet (Y)'!H2:I2)</f>
        <v>16543</v>
      </c>
      <c r="H17" s="60" t="s">
        <v>85</v>
      </c>
      <c r="I17" s="61">
        <f>C24+I9+I10-C12-F30-I12-SUM('Cash Flow (Y)'!H48:H56)</f>
        <v>1748</v>
      </c>
      <c r="K17" s="108">
        <f>'Cash Flow (Y)'!H44+'Cash Flow (Y)'!H47</f>
        <v>1771</v>
      </c>
      <c r="L17">
        <f>1770-I17</f>
        <v>22</v>
      </c>
      <c r="M17">
        <v>271</v>
      </c>
      <c r="U17" t="s">
        <v>556</v>
      </c>
      <c r="V17">
        <v>16.04</v>
      </c>
      <c r="W17">
        <v>18.739999999999998</v>
      </c>
      <c r="X17">
        <v>23.61</v>
      </c>
      <c r="Y17">
        <v>27.14</v>
      </c>
      <c r="Z17">
        <v>34.79</v>
      </c>
      <c r="AA17">
        <v>38.01</v>
      </c>
      <c r="AB17">
        <v>42.52</v>
      </c>
      <c r="AC17">
        <v>44.23</v>
      </c>
      <c r="AD17">
        <v>41.22</v>
      </c>
      <c r="AE17">
        <v>46.04</v>
      </c>
      <c r="AF17">
        <v>43.97</v>
      </c>
    </row>
    <row r="18" spans="2:32" x14ac:dyDescent="0.25">
      <c r="B18" s="60" t="s">
        <v>71</v>
      </c>
      <c r="C18" s="61">
        <f>'Income Statement (Y)'!H35</f>
        <v>994</v>
      </c>
      <c r="E18" s="60" t="s">
        <v>83</v>
      </c>
      <c r="F18" s="61">
        <f>AVERAGE('Equity (Y)'!I51,'Equity (Y)'!I38)</f>
        <v>7067</v>
      </c>
      <c r="H18" s="60" t="s">
        <v>86</v>
      </c>
      <c r="I18" s="107">
        <f>I17+'N9 Debt'!H21-Ratios!C11</f>
        <v>1705</v>
      </c>
      <c r="M18">
        <v>333</v>
      </c>
      <c r="U18" t="s">
        <v>557</v>
      </c>
      <c r="V18">
        <v>987</v>
      </c>
      <c r="W18" s="108">
        <v>1137</v>
      </c>
      <c r="X18" s="108">
        <v>1006</v>
      </c>
      <c r="Y18" s="108">
        <v>2073</v>
      </c>
      <c r="Z18" s="108">
        <v>1532</v>
      </c>
      <c r="AA18" s="108">
        <v>2089</v>
      </c>
      <c r="AB18" s="108">
        <v>2266</v>
      </c>
      <c r="AC18" s="108">
        <v>2059</v>
      </c>
      <c r="AD18" s="108">
        <v>1935</v>
      </c>
      <c r="AE18" s="108">
        <v>2277</v>
      </c>
      <c r="AF18" s="108">
        <v>2277</v>
      </c>
    </row>
    <row r="19" spans="2:32" x14ac:dyDescent="0.25">
      <c r="B19" s="60" t="s">
        <v>102</v>
      </c>
      <c r="C19" s="61">
        <f>C6-C7</f>
        <v>5090</v>
      </c>
      <c r="E19" s="60" t="s">
        <v>91</v>
      </c>
      <c r="F19" s="61">
        <f>AVERAGE('Balance Sheet (Y)'!H15:I15)</f>
        <v>2920.5</v>
      </c>
      <c r="M19">
        <v>526</v>
      </c>
      <c r="U19" t="s">
        <v>558</v>
      </c>
      <c r="V19">
        <v>-625</v>
      </c>
      <c r="W19">
        <v>-345</v>
      </c>
      <c r="X19">
        <v>-407</v>
      </c>
      <c r="Y19">
        <v>-682</v>
      </c>
      <c r="Z19">
        <v>-777</v>
      </c>
      <c r="AA19">
        <v>-740</v>
      </c>
      <c r="AB19">
        <v>-798</v>
      </c>
      <c r="AC19">
        <v>-799</v>
      </c>
      <c r="AD19">
        <v>-594</v>
      </c>
      <c r="AE19">
        <v>-587</v>
      </c>
      <c r="AF19">
        <v>-587</v>
      </c>
    </row>
    <row r="20" spans="2:32" x14ac:dyDescent="0.25">
      <c r="E20" s="60" t="s">
        <v>106</v>
      </c>
      <c r="F20" s="61">
        <f>AVERAGE('Balance Sheet (Y)'!H68:I68)</f>
        <v>1578</v>
      </c>
      <c r="M20">
        <v>560</v>
      </c>
      <c r="U20" t="s">
        <v>559</v>
      </c>
      <c r="V20">
        <v>362</v>
      </c>
      <c r="W20">
        <v>792</v>
      </c>
      <c r="X20">
        <v>599</v>
      </c>
      <c r="Y20" s="108">
        <v>1391</v>
      </c>
      <c r="Z20">
        <v>755</v>
      </c>
      <c r="AA20" s="108">
        <v>1349</v>
      </c>
      <c r="AB20" s="108">
        <v>1468</v>
      </c>
      <c r="AC20" s="108">
        <v>1260</v>
      </c>
      <c r="AD20" s="108">
        <v>1341</v>
      </c>
      <c r="AE20" s="108">
        <v>1690</v>
      </c>
      <c r="AF20" s="108">
        <v>1690</v>
      </c>
    </row>
    <row r="21" spans="2:32" x14ac:dyDescent="0.25">
      <c r="U21" t="s">
        <v>560</v>
      </c>
      <c r="V21">
        <v>1.84</v>
      </c>
      <c r="W21">
        <v>4.01</v>
      </c>
      <c r="X21">
        <v>3.04</v>
      </c>
      <c r="Y21">
        <v>5.84</v>
      </c>
      <c r="Z21">
        <v>3.98</v>
      </c>
      <c r="AA21">
        <v>7.06</v>
      </c>
      <c r="AB21">
        <v>7.68</v>
      </c>
      <c r="AC21">
        <v>6.83</v>
      </c>
      <c r="AD21">
        <v>8.85</v>
      </c>
      <c r="AE21">
        <v>9.01</v>
      </c>
    </row>
    <row r="22" spans="2:32" x14ac:dyDescent="0.25">
      <c r="B22" s="60" t="s">
        <v>103</v>
      </c>
      <c r="E22" s="60" t="s">
        <v>92</v>
      </c>
      <c r="F22" s="61">
        <f>AVERAGE('Balance Sheet (Y)'!H58:I58)</f>
        <v>2216.5</v>
      </c>
      <c r="U22" t="s">
        <v>561</v>
      </c>
      <c r="V22" s="108">
        <v>2074</v>
      </c>
      <c r="W22" s="108">
        <v>2571</v>
      </c>
      <c r="X22" s="108">
        <v>3029</v>
      </c>
      <c r="Y22" s="108">
        <v>3434</v>
      </c>
      <c r="Z22" s="108">
        <v>4031</v>
      </c>
      <c r="AA22" s="108">
        <v>5271</v>
      </c>
      <c r="AB22" s="108">
        <v>5034</v>
      </c>
      <c r="AC22" s="108">
        <v>4144</v>
      </c>
      <c r="AD22" s="108">
        <v>3382</v>
      </c>
      <c r="AE22" s="108">
        <v>3251</v>
      </c>
    </row>
    <row r="23" spans="2:32" x14ac:dyDescent="0.25">
      <c r="E23" s="60" t="s">
        <v>93</v>
      </c>
      <c r="F23" s="61">
        <f>AVERAGE('10k Key Ratios'!F8:G8)</f>
        <v>3321.5</v>
      </c>
    </row>
    <row r="24" spans="2:32" x14ac:dyDescent="0.25">
      <c r="B24" s="60" t="s">
        <v>25</v>
      </c>
      <c r="C24" s="61">
        <f>'Segment Earnings'!H123</f>
        <v>2446</v>
      </c>
      <c r="U24" t="s">
        <v>562</v>
      </c>
    </row>
    <row r="25" spans="2:32" x14ac:dyDescent="0.25">
      <c r="B25" s="60" t="s">
        <v>24</v>
      </c>
      <c r="C25" s="61">
        <f>C24+I9+I10</f>
        <v>3029</v>
      </c>
      <c r="E25" s="60" t="s">
        <v>88</v>
      </c>
      <c r="F25" s="61">
        <f>F19/(C7/365)</f>
        <v>69.499445820837138</v>
      </c>
      <c r="U25" t="s">
        <v>563</v>
      </c>
      <c r="V25" t="s">
        <v>536</v>
      </c>
      <c r="W25" t="s">
        <v>537</v>
      </c>
      <c r="X25" t="s">
        <v>538</v>
      </c>
      <c r="Y25" t="s">
        <v>539</v>
      </c>
      <c r="Z25" t="s">
        <v>540</v>
      </c>
      <c r="AA25" t="s">
        <v>541</v>
      </c>
      <c r="AB25" t="s">
        <v>542</v>
      </c>
      <c r="AC25" t="s">
        <v>543</v>
      </c>
      <c r="AD25" t="s">
        <v>544</v>
      </c>
      <c r="AE25" t="s">
        <v>545</v>
      </c>
      <c r="AF25" t="s">
        <v>546</v>
      </c>
    </row>
    <row r="26" spans="2:32" x14ac:dyDescent="0.25">
      <c r="E26" s="60" t="s">
        <v>89</v>
      </c>
      <c r="F26" s="61">
        <f>F23/(C6/365)</f>
        <v>59.347341883689054</v>
      </c>
      <c r="U26" t="s">
        <v>66</v>
      </c>
      <c r="V26">
        <v>100</v>
      </c>
      <c r="W26">
        <v>100</v>
      </c>
      <c r="X26">
        <v>100</v>
      </c>
      <c r="Y26">
        <v>100</v>
      </c>
      <c r="Z26">
        <v>100</v>
      </c>
      <c r="AA26">
        <v>100</v>
      </c>
      <c r="AB26">
        <v>100</v>
      </c>
      <c r="AC26">
        <v>100</v>
      </c>
      <c r="AD26">
        <v>100</v>
      </c>
      <c r="AE26">
        <v>100</v>
      </c>
      <c r="AF26">
        <v>100</v>
      </c>
    </row>
    <row r="27" spans="2:32" x14ac:dyDescent="0.25">
      <c r="B27" s="60" t="s">
        <v>114</v>
      </c>
      <c r="C27" s="61">
        <f>'Income Statement (Y)'!H31/'Income Statement (Y)'!H30</f>
        <v>0.57970401691331919</v>
      </c>
      <c r="E27" s="60" t="s">
        <v>90</v>
      </c>
      <c r="F27" s="61">
        <f>F22/(C7/365)</f>
        <v>52.746283739731382</v>
      </c>
      <c r="U27" t="s">
        <v>564</v>
      </c>
      <c r="V27">
        <v>79.5</v>
      </c>
      <c r="W27">
        <v>79.92</v>
      </c>
      <c r="X27">
        <v>76.05</v>
      </c>
      <c r="Y27">
        <v>74.569999999999993</v>
      </c>
      <c r="Z27">
        <v>74.52</v>
      </c>
      <c r="AA27">
        <v>75.260000000000005</v>
      </c>
      <c r="AB27">
        <v>74.709999999999994</v>
      </c>
      <c r="AC27">
        <v>74.11</v>
      </c>
      <c r="AD27">
        <v>74.569999999999993</v>
      </c>
      <c r="AE27">
        <v>75.08</v>
      </c>
      <c r="AF27">
        <v>75.08</v>
      </c>
    </row>
    <row r="28" spans="2:32" x14ac:dyDescent="0.25">
      <c r="U28" t="s">
        <v>565</v>
      </c>
      <c r="V28">
        <v>20.5</v>
      </c>
      <c r="W28">
        <v>20.079999999999998</v>
      </c>
      <c r="X28">
        <v>23.95</v>
      </c>
      <c r="Y28">
        <v>25.43</v>
      </c>
      <c r="Z28">
        <v>25.48</v>
      </c>
      <c r="AA28">
        <v>24.74</v>
      </c>
      <c r="AB28">
        <v>25.29</v>
      </c>
      <c r="AC28">
        <v>25.89</v>
      </c>
      <c r="AD28">
        <v>25.43</v>
      </c>
      <c r="AE28">
        <v>24.92</v>
      </c>
      <c r="AF28">
        <v>24.92</v>
      </c>
    </row>
    <row r="29" spans="2:32" x14ac:dyDescent="0.25">
      <c r="E29" s="60" t="s">
        <v>105</v>
      </c>
      <c r="F29" s="61">
        <f>F20+F18</f>
        <v>8645</v>
      </c>
      <c r="U29" t="s">
        <v>566</v>
      </c>
      <c r="V29">
        <v>10.11</v>
      </c>
      <c r="W29">
        <v>11.47</v>
      </c>
      <c r="X29">
        <v>11.24</v>
      </c>
      <c r="Y29">
        <v>10.18</v>
      </c>
      <c r="Z29">
        <v>10.43</v>
      </c>
      <c r="AA29">
        <v>10.5</v>
      </c>
      <c r="AB29">
        <v>10.9</v>
      </c>
      <c r="AC29">
        <v>10.95</v>
      </c>
      <c r="AD29">
        <v>11.69</v>
      </c>
      <c r="AE29">
        <v>11.7</v>
      </c>
      <c r="AF29">
        <v>11.7</v>
      </c>
    </row>
    <row r="30" spans="2:32" x14ac:dyDescent="0.25">
      <c r="E30" s="60" t="s">
        <v>115</v>
      </c>
      <c r="F30" s="61">
        <f>'10k Key Ratios'!F6-'10k Key Ratios'!G6</f>
        <v>-131</v>
      </c>
      <c r="U30" t="s">
        <v>567</v>
      </c>
      <c r="V30">
        <v>2.94</v>
      </c>
      <c r="W30">
        <v>3.35</v>
      </c>
      <c r="X30">
        <v>3.13</v>
      </c>
      <c r="Y30">
        <v>3.49</v>
      </c>
      <c r="Z30">
        <v>4.2</v>
      </c>
      <c r="AA30">
        <v>4.12</v>
      </c>
      <c r="AB30">
        <v>3.92</v>
      </c>
      <c r="AC30">
        <v>3.85</v>
      </c>
      <c r="AD30">
        <v>3.63</v>
      </c>
      <c r="AE30">
        <v>3.68</v>
      </c>
      <c r="AF30">
        <v>3.68</v>
      </c>
    </row>
    <row r="31" spans="2:32" x14ac:dyDescent="0.25">
      <c r="U31" t="s">
        <v>568</v>
      </c>
      <c r="V31">
        <v>-1.42</v>
      </c>
      <c r="W31">
        <v>-1.06</v>
      </c>
      <c r="X31">
        <v>-2.5299999999999998</v>
      </c>
      <c r="Y31">
        <v>-3.09</v>
      </c>
      <c r="Z31">
        <v>-2.16</v>
      </c>
      <c r="AA31">
        <v>-2.0299999999999998</v>
      </c>
      <c r="AB31">
        <v>-1.84</v>
      </c>
      <c r="AC31">
        <v>0.33</v>
      </c>
      <c r="AD31">
        <v>-0.9</v>
      </c>
      <c r="AE31">
        <v>-2.04</v>
      </c>
      <c r="AF31">
        <v>-2.04</v>
      </c>
    </row>
    <row r="32" spans="2:32" x14ac:dyDescent="0.25">
      <c r="E32" s="60" t="s">
        <v>117</v>
      </c>
      <c r="F32" s="61">
        <f>'N9 Debt'!H15-'N9 Debt'!I15</f>
        <v>48</v>
      </c>
      <c r="U32" t="s">
        <v>569</v>
      </c>
      <c r="V32">
        <v>8.8699999999999992</v>
      </c>
      <c r="W32">
        <v>6.31</v>
      </c>
      <c r="X32">
        <v>12.11</v>
      </c>
      <c r="Y32">
        <v>14.85</v>
      </c>
      <c r="Z32">
        <v>13</v>
      </c>
      <c r="AA32">
        <v>12.14</v>
      </c>
      <c r="AB32">
        <v>12.3</v>
      </c>
      <c r="AC32">
        <v>10.76</v>
      </c>
      <c r="AD32">
        <v>11.01</v>
      </c>
      <c r="AE32">
        <v>11.58</v>
      </c>
      <c r="AF32">
        <v>11.58</v>
      </c>
    </row>
    <row r="33" spans="2:32" x14ac:dyDescent="0.25">
      <c r="U33" t="s">
        <v>570</v>
      </c>
      <c r="V33">
        <v>-0.66</v>
      </c>
      <c r="W33">
        <v>-0.39</v>
      </c>
      <c r="X33">
        <v>0.11</v>
      </c>
      <c r="Y33">
        <v>-0.06</v>
      </c>
      <c r="Z33">
        <v>0.1</v>
      </c>
      <c r="AA33">
        <v>0.1</v>
      </c>
      <c r="AB33">
        <v>0.36</v>
      </c>
      <c r="AC33">
        <v>-0.17</v>
      </c>
      <c r="AD33">
        <v>0.01</v>
      </c>
    </row>
    <row r="34" spans="2:32" x14ac:dyDescent="0.25">
      <c r="B34" s="512" t="s">
        <v>76</v>
      </c>
      <c r="C34" s="512"/>
      <c r="D34" s="512"/>
      <c r="E34" s="512"/>
      <c r="F34" s="512"/>
      <c r="G34" s="512"/>
      <c r="H34" s="512"/>
      <c r="I34" s="512"/>
      <c r="U34" t="s">
        <v>571</v>
      </c>
      <c r="V34">
        <v>8.2100000000000009</v>
      </c>
      <c r="W34">
        <v>5.93</v>
      </c>
      <c r="X34">
        <v>12.23</v>
      </c>
      <c r="Y34">
        <v>14.8</v>
      </c>
      <c r="Z34">
        <v>13.1</v>
      </c>
      <c r="AA34">
        <v>12.25</v>
      </c>
      <c r="AB34">
        <v>12.66</v>
      </c>
      <c r="AC34">
        <v>10.6</v>
      </c>
      <c r="AD34">
        <v>11.02</v>
      </c>
      <c r="AE34">
        <v>11.58</v>
      </c>
      <c r="AF34">
        <v>11.58</v>
      </c>
    </row>
    <row r="35" spans="2:32" x14ac:dyDescent="0.25">
      <c r="B35" s="60" t="s">
        <v>81</v>
      </c>
      <c r="C35" s="61">
        <f>C18/C6</f>
        <v>4.8658703739964754E-2</v>
      </c>
      <c r="E35" s="60" t="s">
        <v>107</v>
      </c>
      <c r="F35" s="61">
        <f>F5/F7</f>
        <v>0.1945124938755512</v>
      </c>
    </row>
    <row r="36" spans="2:32" x14ac:dyDescent="0.25">
      <c r="E36" s="60" t="s">
        <v>108</v>
      </c>
      <c r="F36" s="61">
        <f>F6/F8</f>
        <v>0.54832641770401103</v>
      </c>
      <c r="H36" s="60" t="s">
        <v>77</v>
      </c>
      <c r="I36" s="61">
        <f>F10/F6</f>
        <v>0.90081727373625264</v>
      </c>
      <c r="U36" t="s">
        <v>572</v>
      </c>
      <c r="V36" t="s">
        <v>536</v>
      </c>
      <c r="W36" t="s">
        <v>537</v>
      </c>
      <c r="X36" t="s">
        <v>538</v>
      </c>
      <c r="Y36" t="s">
        <v>539</v>
      </c>
      <c r="Z36" t="s">
        <v>540</v>
      </c>
      <c r="AA36" t="s">
        <v>541</v>
      </c>
      <c r="AB36" t="s">
        <v>542</v>
      </c>
      <c r="AC36" t="s">
        <v>543</v>
      </c>
      <c r="AD36" t="s">
        <v>544</v>
      </c>
      <c r="AE36" t="s">
        <v>545</v>
      </c>
      <c r="AF36" t="s">
        <v>546</v>
      </c>
    </row>
    <row r="37" spans="2:32" x14ac:dyDescent="0.25">
      <c r="B37" s="60" t="s">
        <v>80</v>
      </c>
      <c r="E37" s="60" t="s">
        <v>41</v>
      </c>
      <c r="H37" s="60" t="s">
        <v>78</v>
      </c>
      <c r="I37" s="61">
        <f>(F10-F12)/F11</f>
        <v>1.0149726968469261</v>
      </c>
      <c r="U37" t="s">
        <v>573</v>
      </c>
      <c r="V37">
        <v>30.56</v>
      </c>
      <c r="W37">
        <v>24.38</v>
      </c>
      <c r="X37">
        <v>29.5</v>
      </c>
      <c r="Y37">
        <v>27.14</v>
      </c>
      <c r="Z37">
        <v>23.47</v>
      </c>
      <c r="AA37">
        <v>25.06</v>
      </c>
      <c r="AB37">
        <v>28.68</v>
      </c>
      <c r="AC37">
        <v>27.41</v>
      </c>
      <c r="AD37">
        <v>24.56</v>
      </c>
      <c r="AE37">
        <v>57.97</v>
      </c>
      <c r="AF37">
        <v>57.97</v>
      </c>
    </row>
    <row r="38" spans="2:32" x14ac:dyDescent="0.25">
      <c r="B38" s="62" t="s">
        <v>99</v>
      </c>
      <c r="C38" s="61">
        <f>C19/C6</f>
        <v>0.24916780888975915</v>
      </c>
      <c r="E38" s="60" t="s">
        <v>109</v>
      </c>
      <c r="F38" s="61">
        <f>C24/C11</f>
        <v>38.825396825396822</v>
      </c>
      <c r="H38" s="60" t="s">
        <v>94</v>
      </c>
      <c r="I38" s="61">
        <f>(I6+I7)/F11</f>
        <v>0.27602607010745112</v>
      </c>
      <c r="U38" t="s">
        <v>574</v>
      </c>
      <c r="V38">
        <v>5.26</v>
      </c>
      <c r="W38">
        <v>3.96</v>
      </c>
      <c r="X38">
        <v>7.86</v>
      </c>
      <c r="Y38">
        <v>10.24</v>
      </c>
      <c r="Z38">
        <v>9.49</v>
      </c>
      <c r="AA38">
        <v>8.57</v>
      </c>
      <c r="AB38">
        <v>8.59</v>
      </c>
      <c r="AC38">
        <v>7.32</v>
      </c>
      <c r="AD38">
        <v>7.96</v>
      </c>
      <c r="AE38">
        <v>4.8899999999999997</v>
      </c>
      <c r="AF38">
        <v>4.8899999999999997</v>
      </c>
    </row>
    <row r="39" spans="2:32" x14ac:dyDescent="0.25">
      <c r="B39" s="62" t="s">
        <v>100</v>
      </c>
      <c r="C39" s="61">
        <f>C8/C6</f>
        <v>0.11577246915997651</v>
      </c>
      <c r="E39" s="60" t="s">
        <v>110</v>
      </c>
      <c r="H39" s="60" t="s">
        <v>87</v>
      </c>
      <c r="I39" s="61">
        <f>(F26+F25)-F27</f>
        <v>76.100503964794825</v>
      </c>
      <c r="U39" t="s">
        <v>575</v>
      </c>
      <c r="V39">
        <v>1.72</v>
      </c>
      <c r="W39">
        <v>1.24</v>
      </c>
      <c r="X39">
        <v>1.38</v>
      </c>
      <c r="Y39">
        <v>1.64</v>
      </c>
      <c r="Z39">
        <v>1.43</v>
      </c>
      <c r="AA39">
        <v>1.27</v>
      </c>
      <c r="AB39">
        <v>1.26</v>
      </c>
      <c r="AC39">
        <v>1.24</v>
      </c>
      <c r="AD39">
        <v>1.1599999999999999</v>
      </c>
      <c r="AE39">
        <v>1.23</v>
      </c>
      <c r="AF39">
        <v>1.23</v>
      </c>
    </row>
    <row r="40" spans="2:32" x14ac:dyDescent="0.25">
      <c r="B40" s="62" t="s">
        <v>101</v>
      </c>
      <c r="U40" t="s">
        <v>576</v>
      </c>
      <c r="V40">
        <v>9.0299999999999994</v>
      </c>
      <c r="W40">
        <v>4.9400000000000004</v>
      </c>
      <c r="X40">
        <v>10.82</v>
      </c>
      <c r="Y40">
        <v>16.75</v>
      </c>
      <c r="Z40">
        <v>13.59</v>
      </c>
      <c r="AA40">
        <v>10.87</v>
      </c>
      <c r="AB40">
        <v>10.82</v>
      </c>
      <c r="AC40">
        <v>9.0500000000000007</v>
      </c>
      <c r="AD40">
        <v>9.25</v>
      </c>
      <c r="AE40">
        <v>6.04</v>
      </c>
      <c r="AF40">
        <v>6.04</v>
      </c>
    </row>
    <row r="41" spans="2:32" x14ac:dyDescent="0.25">
      <c r="B41" s="62" t="s">
        <v>71</v>
      </c>
      <c r="C41" s="61">
        <f>C18/C6</f>
        <v>4.8658703739964754E-2</v>
      </c>
      <c r="U41" t="s">
        <v>577</v>
      </c>
      <c r="V41">
        <v>2.64</v>
      </c>
      <c r="W41">
        <v>2.34</v>
      </c>
      <c r="X41">
        <v>2.23</v>
      </c>
      <c r="Y41">
        <v>2.12</v>
      </c>
      <c r="Z41">
        <v>1.9</v>
      </c>
      <c r="AA41">
        <v>1.96</v>
      </c>
      <c r="AB41">
        <v>2.04</v>
      </c>
      <c r="AC41">
        <v>2.04</v>
      </c>
      <c r="AD41">
        <v>2.1800000000000002</v>
      </c>
      <c r="AE41">
        <v>2.4900000000000002</v>
      </c>
      <c r="AF41">
        <v>2.4900000000000002</v>
      </c>
    </row>
    <row r="42" spans="2:32" x14ac:dyDescent="0.25">
      <c r="B42" s="60" t="s">
        <v>13</v>
      </c>
      <c r="U42" t="s">
        <v>578</v>
      </c>
      <c r="V42">
        <v>22.74</v>
      </c>
      <c r="W42">
        <v>12.22</v>
      </c>
      <c r="X42">
        <v>24.64</v>
      </c>
      <c r="Y42">
        <v>36.369999999999997</v>
      </c>
      <c r="Z42">
        <v>27.2</v>
      </c>
      <c r="AA42">
        <v>21.02</v>
      </c>
      <c r="AB42">
        <v>21.64</v>
      </c>
      <c r="AC42">
        <v>18.46</v>
      </c>
      <c r="AD42">
        <v>19.52</v>
      </c>
      <c r="AE42">
        <v>14.14</v>
      </c>
      <c r="AF42">
        <v>14.14</v>
      </c>
    </row>
    <row r="43" spans="2:32" x14ac:dyDescent="0.25">
      <c r="B43" s="60" t="s">
        <v>54</v>
      </c>
      <c r="C43" s="61">
        <f>C17/F17</f>
        <v>6.0388079550262951E-2</v>
      </c>
      <c r="U43" t="s">
        <v>579</v>
      </c>
      <c r="V43">
        <v>19.27</v>
      </c>
      <c r="W43">
        <v>10.71</v>
      </c>
      <c r="X43">
        <v>21.26</v>
      </c>
      <c r="Y43">
        <v>31.88</v>
      </c>
      <c r="Z43">
        <v>24.35</v>
      </c>
      <c r="AA43">
        <v>17.96</v>
      </c>
      <c r="AB43">
        <v>17.97</v>
      </c>
      <c r="AC43">
        <v>15.45</v>
      </c>
      <c r="AD43">
        <v>16.07</v>
      </c>
      <c r="AE43">
        <v>11.52</v>
      </c>
      <c r="AF43">
        <v>11.52</v>
      </c>
    </row>
    <row r="44" spans="2:32" x14ac:dyDescent="0.25">
      <c r="B44" s="60" t="s">
        <v>79</v>
      </c>
      <c r="C44" s="61">
        <f>C17/F7</f>
        <v>0.12236648701616855</v>
      </c>
      <c r="U44" t="s">
        <v>109</v>
      </c>
      <c r="V44">
        <v>29.05</v>
      </c>
      <c r="W44">
        <v>19.29</v>
      </c>
      <c r="X44">
        <v>41.42</v>
      </c>
      <c r="Y44">
        <v>61.7</v>
      </c>
      <c r="Z44">
        <v>71.97</v>
      </c>
      <c r="AA44">
        <v>52.68</v>
      </c>
      <c r="AB44">
        <v>39.03</v>
      </c>
      <c r="AC44">
        <v>32.15</v>
      </c>
      <c r="AD44">
        <v>28.97</v>
      </c>
      <c r="AE44">
        <v>30.2</v>
      </c>
      <c r="AF44">
        <v>30.2</v>
      </c>
    </row>
    <row r="45" spans="2:32" x14ac:dyDescent="0.25">
      <c r="B45" s="60" t="s">
        <v>98</v>
      </c>
      <c r="C45" s="61">
        <f>C24/F29</f>
        <v>0.28293811451706191</v>
      </c>
    </row>
    <row r="46" spans="2:32" x14ac:dyDescent="0.25">
      <c r="U46" t="s">
        <v>580</v>
      </c>
    </row>
    <row r="47" spans="2:32" x14ac:dyDescent="0.25">
      <c r="V47" t="s">
        <v>536</v>
      </c>
      <c r="W47" t="s">
        <v>537</v>
      </c>
      <c r="X47" t="s">
        <v>538</v>
      </c>
      <c r="Y47" t="s">
        <v>539</v>
      </c>
      <c r="Z47" t="s">
        <v>540</v>
      </c>
      <c r="AA47" t="s">
        <v>541</v>
      </c>
      <c r="AB47" t="s">
        <v>542</v>
      </c>
      <c r="AC47" t="s">
        <v>543</v>
      </c>
      <c r="AD47" t="s">
        <v>544</v>
      </c>
      <c r="AE47" t="s">
        <v>545</v>
      </c>
      <c r="AF47" t="s">
        <v>581</v>
      </c>
    </row>
    <row r="48" spans="2:32" x14ac:dyDescent="0.25">
      <c r="U48" t="s">
        <v>582</v>
      </c>
    </row>
    <row r="49" spans="21:32" x14ac:dyDescent="0.25">
      <c r="U49" t="s">
        <v>583</v>
      </c>
      <c r="V49">
        <v>9.92</v>
      </c>
      <c r="W49">
        <v>-24.7</v>
      </c>
      <c r="X49">
        <v>22.46</v>
      </c>
      <c r="Y49">
        <v>36.46</v>
      </c>
      <c r="Z49">
        <v>-3.96</v>
      </c>
      <c r="AA49">
        <v>-0.19</v>
      </c>
      <c r="AB49">
        <v>11.1</v>
      </c>
      <c r="AC49">
        <v>-0.57999999999999996</v>
      </c>
      <c r="AD49">
        <v>-8.3800000000000008</v>
      </c>
      <c r="AE49">
        <v>16.670000000000002</v>
      </c>
      <c r="AF49">
        <v>21.61</v>
      </c>
    </row>
    <row r="50" spans="21:32" x14ac:dyDescent="0.25">
      <c r="U50" t="s">
        <v>584</v>
      </c>
      <c r="V50">
        <v>13.08</v>
      </c>
      <c r="W50">
        <v>-1.68</v>
      </c>
      <c r="X50">
        <v>0.45</v>
      </c>
      <c r="Y50">
        <v>7.96</v>
      </c>
      <c r="Z50">
        <v>17.079999999999998</v>
      </c>
      <c r="AA50">
        <v>9.3699999999999992</v>
      </c>
      <c r="AB50">
        <v>2.12</v>
      </c>
      <c r="AC50">
        <v>3.3</v>
      </c>
      <c r="AD50">
        <v>0.4</v>
      </c>
      <c r="AE50">
        <v>2.0499999999999998</v>
      </c>
    </row>
    <row r="51" spans="21:32" x14ac:dyDescent="0.25">
      <c r="U51" t="s">
        <v>585</v>
      </c>
      <c r="V51">
        <v>17.899999999999999</v>
      </c>
      <c r="W51">
        <v>5.0599999999999996</v>
      </c>
      <c r="X51">
        <v>5.93</v>
      </c>
      <c r="Y51">
        <v>9.6999999999999993</v>
      </c>
      <c r="Z51">
        <v>5.85</v>
      </c>
      <c r="AA51">
        <v>3.82</v>
      </c>
      <c r="AB51">
        <v>12.22</v>
      </c>
      <c r="AC51">
        <v>7.64</v>
      </c>
      <c r="AD51">
        <v>-0.6</v>
      </c>
      <c r="AE51">
        <v>3.34</v>
      </c>
    </row>
    <row r="52" spans="21:32" x14ac:dyDescent="0.25">
      <c r="U52" t="s">
        <v>586</v>
      </c>
      <c r="V52">
        <v>8.6300000000000008</v>
      </c>
      <c r="W52">
        <v>4.99</v>
      </c>
      <c r="X52">
        <v>7.2</v>
      </c>
      <c r="Y52">
        <v>12.25</v>
      </c>
      <c r="Z52">
        <v>11.47</v>
      </c>
      <c r="AA52">
        <v>10.64</v>
      </c>
      <c r="AB52">
        <v>8.58</v>
      </c>
      <c r="AC52">
        <v>6.78</v>
      </c>
      <c r="AD52">
        <v>4.42</v>
      </c>
      <c r="AE52">
        <v>4.58</v>
      </c>
    </row>
    <row r="53" spans="21:32" x14ac:dyDescent="0.25">
      <c r="U53" t="s">
        <v>587</v>
      </c>
    </row>
    <row r="54" spans="21:32" x14ac:dyDescent="0.25">
      <c r="U54" t="s">
        <v>583</v>
      </c>
      <c r="V54">
        <v>9.84</v>
      </c>
      <c r="W54">
        <v>-46.38</v>
      </c>
      <c r="X54">
        <v>134.9</v>
      </c>
      <c r="Y54">
        <v>67.349999999999994</v>
      </c>
      <c r="Z54">
        <v>-15.93</v>
      </c>
      <c r="AA54">
        <v>-6.79</v>
      </c>
      <c r="AB54">
        <v>12.57</v>
      </c>
      <c r="AC54">
        <v>-13.02</v>
      </c>
      <c r="AD54">
        <v>-6.27</v>
      </c>
      <c r="AE54">
        <v>22.67</v>
      </c>
      <c r="AF54">
        <v>17.36</v>
      </c>
    </row>
    <row r="55" spans="21:32" x14ac:dyDescent="0.25">
      <c r="U55" t="s">
        <v>584</v>
      </c>
      <c r="V55">
        <v>18.57</v>
      </c>
      <c r="W55">
        <v>-15.52</v>
      </c>
      <c r="X55">
        <v>11.43</v>
      </c>
      <c r="Y55">
        <v>28.21</v>
      </c>
      <c r="Z55">
        <v>48.96</v>
      </c>
      <c r="AA55">
        <v>9.4600000000000009</v>
      </c>
      <c r="AB55">
        <v>-4.09</v>
      </c>
      <c r="AC55">
        <v>-3</v>
      </c>
      <c r="AD55">
        <v>-2.82</v>
      </c>
    </row>
    <row r="56" spans="21:32" x14ac:dyDescent="0.25">
      <c r="U56" t="s">
        <v>585</v>
      </c>
      <c r="V56">
        <v>68.73</v>
      </c>
      <c r="W56">
        <v>9.9700000000000006</v>
      </c>
      <c r="X56">
        <v>15.99</v>
      </c>
      <c r="Y56">
        <v>18.84</v>
      </c>
      <c r="Z56">
        <v>14.25</v>
      </c>
      <c r="AA56">
        <v>10.56</v>
      </c>
      <c r="AB56">
        <v>28.24</v>
      </c>
      <c r="AC56">
        <v>5.13</v>
      </c>
      <c r="AD56">
        <v>-6.38</v>
      </c>
      <c r="AE56">
        <v>0.97</v>
      </c>
    </row>
    <row r="57" spans="21:32" x14ac:dyDescent="0.25">
      <c r="U57" t="s">
        <v>586</v>
      </c>
      <c r="V57">
        <v>31.54</v>
      </c>
      <c r="W57">
        <v>7.46</v>
      </c>
      <c r="X57">
        <v>35.119999999999997</v>
      </c>
      <c r="Z57">
        <v>34.54</v>
      </c>
      <c r="AA57">
        <v>36.58</v>
      </c>
      <c r="AB57">
        <v>18.75</v>
      </c>
      <c r="AC57">
        <v>10.43</v>
      </c>
      <c r="AD57">
        <v>5.48</v>
      </c>
      <c r="AE57">
        <v>7.4</v>
      </c>
    </row>
    <row r="58" spans="21:32" x14ac:dyDescent="0.25">
      <c r="U58" t="s">
        <v>588</v>
      </c>
    </row>
    <row r="59" spans="21:32" x14ac:dyDescent="0.25">
      <c r="U59" t="s">
        <v>583</v>
      </c>
      <c r="V59">
        <v>2.17</v>
      </c>
      <c r="W59">
        <v>-43.31</v>
      </c>
      <c r="X59">
        <v>142.99</v>
      </c>
      <c r="Y59">
        <v>77.69</v>
      </c>
      <c r="Z59">
        <v>-10.98</v>
      </c>
      <c r="AA59">
        <v>-9.85</v>
      </c>
      <c r="AB59">
        <v>11.33</v>
      </c>
      <c r="AC59">
        <v>-15.26</v>
      </c>
      <c r="AD59">
        <v>-0.36</v>
      </c>
      <c r="AE59">
        <v>-28.34</v>
      </c>
    </row>
    <row r="60" spans="21:32" x14ac:dyDescent="0.25">
      <c r="U60" t="s">
        <v>584</v>
      </c>
      <c r="V60">
        <v>11.14</v>
      </c>
      <c r="W60">
        <v>-15.72</v>
      </c>
      <c r="X60">
        <v>12.06</v>
      </c>
      <c r="Y60">
        <v>34.770000000000003</v>
      </c>
      <c r="Z60">
        <v>56.64</v>
      </c>
      <c r="AA60">
        <v>12.56</v>
      </c>
      <c r="AB60">
        <v>-3.69</v>
      </c>
      <c r="AC60">
        <v>-5.26</v>
      </c>
      <c r="AD60">
        <v>-2.04</v>
      </c>
      <c r="AE60">
        <v>-15.42</v>
      </c>
    </row>
    <row r="61" spans="21:32" x14ac:dyDescent="0.25">
      <c r="U61" t="s">
        <v>585</v>
      </c>
      <c r="V61">
        <v>72.11</v>
      </c>
      <c r="W61">
        <v>4.1100000000000003</v>
      </c>
      <c r="X61">
        <v>13.59</v>
      </c>
      <c r="Y61">
        <v>20.91</v>
      </c>
      <c r="Z61">
        <v>17.36</v>
      </c>
      <c r="AA61">
        <v>14.46</v>
      </c>
      <c r="AB61">
        <v>31</v>
      </c>
      <c r="AC61">
        <v>6.11</v>
      </c>
      <c r="AD61">
        <v>-5.48</v>
      </c>
      <c r="AE61">
        <v>-9.49</v>
      </c>
    </row>
    <row r="62" spans="21:32" x14ac:dyDescent="0.25">
      <c r="U62" t="s">
        <v>586</v>
      </c>
      <c r="W62">
        <v>10.34</v>
      </c>
      <c r="X62">
        <v>62.7</v>
      </c>
      <c r="Z62">
        <v>34.97</v>
      </c>
      <c r="AA62">
        <v>40.35</v>
      </c>
      <c r="AB62">
        <v>16.78</v>
      </c>
      <c r="AC62">
        <v>9.7899999999999991</v>
      </c>
      <c r="AD62">
        <v>6.9</v>
      </c>
      <c r="AE62">
        <v>3.06</v>
      </c>
    </row>
    <row r="63" spans="21:32" x14ac:dyDescent="0.25">
      <c r="U63" t="s">
        <v>589</v>
      </c>
    </row>
    <row r="64" spans="21:32" x14ac:dyDescent="0.25">
      <c r="U64" t="s">
        <v>583</v>
      </c>
      <c r="V64">
        <v>3.78</v>
      </c>
      <c r="W64">
        <v>-43.75</v>
      </c>
      <c r="X64">
        <v>144.44</v>
      </c>
      <c r="Y64">
        <v>80.87</v>
      </c>
      <c r="Z64">
        <v>-9.2100000000000009</v>
      </c>
      <c r="AA64">
        <v>-8.77</v>
      </c>
      <c r="AB64">
        <v>14.03</v>
      </c>
      <c r="AC64">
        <v>-13.08</v>
      </c>
      <c r="AD64">
        <v>4.97</v>
      </c>
      <c r="AE64">
        <v>-27.46</v>
      </c>
      <c r="AF64">
        <v>-172.77</v>
      </c>
    </row>
    <row r="65" spans="21:32" x14ac:dyDescent="0.25">
      <c r="U65" t="s">
        <v>584</v>
      </c>
      <c r="V65">
        <v>11.74</v>
      </c>
      <c r="W65">
        <v>-15.28</v>
      </c>
      <c r="X65">
        <v>12.58</v>
      </c>
      <c r="Y65">
        <v>35.479999999999997</v>
      </c>
      <c r="Z65">
        <v>58.92</v>
      </c>
      <c r="AA65">
        <v>14.42</v>
      </c>
      <c r="AB65">
        <v>-1.89</v>
      </c>
      <c r="AC65">
        <v>-3.3</v>
      </c>
      <c r="AD65">
        <v>1.33</v>
      </c>
      <c r="AE65">
        <v>-12.85</v>
      </c>
    </row>
    <row r="66" spans="21:32" x14ac:dyDescent="0.25">
      <c r="U66" t="s">
        <v>585</v>
      </c>
      <c r="V66">
        <v>64.63</v>
      </c>
      <c r="W66">
        <v>3.17</v>
      </c>
      <c r="X66">
        <v>13.92</v>
      </c>
      <c r="Y66">
        <v>21.87</v>
      </c>
      <c r="Z66">
        <v>18.57</v>
      </c>
      <c r="AA66">
        <v>15.55</v>
      </c>
      <c r="AB66">
        <v>33.090000000000003</v>
      </c>
      <c r="AC66">
        <v>8.23</v>
      </c>
      <c r="AD66">
        <v>-2.93</v>
      </c>
      <c r="AE66">
        <v>-7.19</v>
      </c>
    </row>
    <row r="67" spans="21:32" x14ac:dyDescent="0.25">
      <c r="U67" t="s">
        <v>586</v>
      </c>
      <c r="W67">
        <v>7.66</v>
      </c>
      <c r="X67">
        <v>59.36</v>
      </c>
      <c r="Z67">
        <v>32.18</v>
      </c>
      <c r="AA67">
        <v>37.93</v>
      </c>
      <c r="AB67">
        <v>17.18</v>
      </c>
      <c r="AC67">
        <v>11.03</v>
      </c>
      <c r="AD67">
        <v>8.76</v>
      </c>
      <c r="AE67">
        <v>4.9000000000000004</v>
      </c>
    </row>
    <row r="69" spans="21:32" x14ac:dyDescent="0.25">
      <c r="U69" t="s">
        <v>590</v>
      </c>
    </row>
    <row r="70" spans="21:32" x14ac:dyDescent="0.25">
      <c r="U70" t="s">
        <v>591</v>
      </c>
      <c r="V70" t="s">
        <v>536</v>
      </c>
      <c r="W70" t="s">
        <v>537</v>
      </c>
      <c r="X70" t="s">
        <v>538</v>
      </c>
      <c r="Y70" t="s">
        <v>539</v>
      </c>
      <c r="Z70" t="s">
        <v>540</v>
      </c>
      <c r="AA70" t="s">
        <v>541</v>
      </c>
      <c r="AB70" t="s">
        <v>542</v>
      </c>
      <c r="AC70" t="s">
        <v>543</v>
      </c>
      <c r="AD70" t="s">
        <v>544</v>
      </c>
      <c r="AE70" t="s">
        <v>545</v>
      </c>
      <c r="AF70" t="s">
        <v>546</v>
      </c>
    </row>
    <row r="71" spans="21:32" x14ac:dyDescent="0.25">
      <c r="U71" t="s">
        <v>592</v>
      </c>
      <c r="V71">
        <v>21.85</v>
      </c>
      <c r="W71">
        <v>15.2</v>
      </c>
      <c r="X71">
        <v>-11.52</v>
      </c>
      <c r="Y71">
        <v>106.06</v>
      </c>
      <c r="Z71">
        <v>-26.1</v>
      </c>
      <c r="AA71">
        <v>36.36</v>
      </c>
      <c r="AB71">
        <v>8.4700000000000006</v>
      </c>
      <c r="AC71">
        <v>-9.14</v>
      </c>
      <c r="AD71">
        <v>-6.02</v>
      </c>
      <c r="AE71">
        <v>17.670000000000002</v>
      </c>
    </row>
    <row r="72" spans="21:32" x14ac:dyDescent="0.25">
      <c r="U72" t="s">
        <v>593</v>
      </c>
      <c r="V72">
        <v>-7.18</v>
      </c>
      <c r="W72">
        <v>118.78</v>
      </c>
      <c r="X72">
        <v>-24.37</v>
      </c>
      <c r="Y72">
        <v>132.22</v>
      </c>
      <c r="Z72">
        <v>-45.72</v>
      </c>
      <c r="AA72">
        <v>78.680000000000007</v>
      </c>
      <c r="AB72">
        <v>8.82</v>
      </c>
      <c r="AC72">
        <v>-14.17</v>
      </c>
      <c r="AD72">
        <v>6.43</v>
      </c>
      <c r="AE72">
        <v>26.03</v>
      </c>
    </row>
    <row r="73" spans="21:32" x14ac:dyDescent="0.25">
      <c r="U73" t="s">
        <v>594</v>
      </c>
      <c r="V73">
        <v>4.3600000000000003</v>
      </c>
      <c r="W73">
        <v>3.19</v>
      </c>
      <c r="X73">
        <v>3.08</v>
      </c>
      <c r="Y73">
        <v>3.78</v>
      </c>
      <c r="Z73">
        <v>4.4800000000000004</v>
      </c>
      <c r="AA73">
        <v>4.28</v>
      </c>
      <c r="AB73">
        <v>4.1500000000000004</v>
      </c>
      <c r="AC73">
        <v>4.18</v>
      </c>
      <c r="AD73">
        <v>3.39</v>
      </c>
      <c r="AE73">
        <v>2.87</v>
      </c>
      <c r="AF73">
        <v>2.87</v>
      </c>
    </row>
    <row r="74" spans="21:32" x14ac:dyDescent="0.25">
      <c r="U74" t="s">
        <v>595</v>
      </c>
      <c r="V74">
        <v>2.52</v>
      </c>
      <c r="W74">
        <v>7.33</v>
      </c>
      <c r="X74">
        <v>4.53</v>
      </c>
      <c r="Y74">
        <v>7.71</v>
      </c>
      <c r="Z74">
        <v>4.3600000000000003</v>
      </c>
      <c r="AA74">
        <v>7.8</v>
      </c>
      <c r="AB74">
        <v>7.64</v>
      </c>
      <c r="AC74">
        <v>6.59</v>
      </c>
      <c r="AD74">
        <v>7.66</v>
      </c>
      <c r="AE74">
        <v>8.27</v>
      </c>
      <c r="AF74">
        <v>8.27</v>
      </c>
    </row>
    <row r="75" spans="21:32" x14ac:dyDescent="0.25">
      <c r="U75" t="s">
        <v>596</v>
      </c>
      <c r="V75">
        <v>0.48</v>
      </c>
      <c r="W75">
        <v>1.85</v>
      </c>
      <c r="X75">
        <v>0.57999999999999996</v>
      </c>
      <c r="Y75">
        <v>0.75</v>
      </c>
      <c r="Z75">
        <v>0.46</v>
      </c>
      <c r="AA75">
        <v>0.91</v>
      </c>
      <c r="AB75">
        <v>0.89</v>
      </c>
      <c r="AC75">
        <v>0.9</v>
      </c>
      <c r="AD75">
        <v>0.96</v>
      </c>
      <c r="AE75">
        <v>1.69</v>
      </c>
      <c r="AF75">
        <v>1.69</v>
      </c>
    </row>
    <row r="77" spans="21:32" x14ac:dyDescent="0.25">
      <c r="U77" t="s">
        <v>597</v>
      </c>
    </row>
    <row r="78" spans="21:32" x14ac:dyDescent="0.25">
      <c r="U78" t="s">
        <v>598</v>
      </c>
      <c r="V78" t="s">
        <v>536</v>
      </c>
      <c r="W78" t="s">
        <v>537</v>
      </c>
      <c r="X78" t="s">
        <v>538</v>
      </c>
      <c r="Y78" t="s">
        <v>539</v>
      </c>
      <c r="Z78" t="s">
        <v>540</v>
      </c>
      <c r="AA78" t="s">
        <v>541</v>
      </c>
      <c r="AB78" t="s">
        <v>542</v>
      </c>
      <c r="AC78" t="s">
        <v>543</v>
      </c>
      <c r="AD78" t="s">
        <v>544</v>
      </c>
      <c r="AE78" t="s">
        <v>545</v>
      </c>
      <c r="AF78" t="s">
        <v>581</v>
      </c>
    </row>
    <row r="79" spans="21:32" x14ac:dyDescent="0.25">
      <c r="U79" t="s">
        <v>599</v>
      </c>
      <c r="V79">
        <v>5.9</v>
      </c>
      <c r="W79">
        <v>12.7</v>
      </c>
      <c r="X79">
        <v>13.09</v>
      </c>
      <c r="Y79">
        <v>15.09</v>
      </c>
      <c r="Z79">
        <v>12.88</v>
      </c>
      <c r="AA79">
        <v>21.29</v>
      </c>
      <c r="AB79">
        <v>15.17</v>
      </c>
      <c r="AC79">
        <v>11.97</v>
      </c>
      <c r="AD79">
        <v>9.19</v>
      </c>
      <c r="AE79">
        <v>8.67</v>
      </c>
      <c r="AF79">
        <v>8.67</v>
      </c>
    </row>
    <row r="80" spans="21:32" x14ac:dyDescent="0.25">
      <c r="U80" t="s">
        <v>600</v>
      </c>
      <c r="V80">
        <v>20.92</v>
      </c>
      <c r="W80">
        <v>22.73</v>
      </c>
      <c r="X80">
        <v>21.56</v>
      </c>
      <c r="Y80">
        <v>21.65</v>
      </c>
      <c r="Z80">
        <v>19.72</v>
      </c>
      <c r="AA80">
        <v>16.04</v>
      </c>
      <c r="AB80">
        <v>18.670000000000002</v>
      </c>
      <c r="AC80">
        <v>18.63</v>
      </c>
      <c r="AD80">
        <v>20.149999999999999</v>
      </c>
      <c r="AE80">
        <v>20.02</v>
      </c>
      <c r="AF80">
        <v>20.02</v>
      </c>
    </row>
    <row r="81" spans="21:32" x14ac:dyDescent="0.25">
      <c r="U81" t="s">
        <v>601</v>
      </c>
      <c r="V81">
        <v>20.93</v>
      </c>
      <c r="W81">
        <v>15.21</v>
      </c>
      <c r="X81">
        <v>19.010000000000002</v>
      </c>
      <c r="Y81">
        <v>18.350000000000001</v>
      </c>
      <c r="Z81">
        <v>17.7</v>
      </c>
      <c r="AA81">
        <v>16.170000000000002</v>
      </c>
      <c r="AB81">
        <v>18.170000000000002</v>
      </c>
      <c r="AC81">
        <v>17.89</v>
      </c>
      <c r="AD81">
        <v>17.82</v>
      </c>
      <c r="AE81">
        <v>17.52</v>
      </c>
      <c r="AF81">
        <v>17.52</v>
      </c>
    </row>
    <row r="82" spans="21:32" x14ac:dyDescent="0.25">
      <c r="U82" t="s">
        <v>602</v>
      </c>
      <c r="V82">
        <v>7.57</v>
      </c>
      <c r="W82">
        <v>6.1</v>
      </c>
      <c r="X82">
        <v>6.8</v>
      </c>
      <c r="Y82">
        <v>5.68</v>
      </c>
      <c r="Z82">
        <v>6.81</v>
      </c>
      <c r="AA82">
        <v>5.16</v>
      </c>
      <c r="AB82">
        <v>5.38</v>
      </c>
      <c r="AC82">
        <v>4.0199999999999996</v>
      </c>
      <c r="AD82">
        <v>4.18</v>
      </c>
      <c r="AE82">
        <v>3.19</v>
      </c>
      <c r="AF82">
        <v>3.19</v>
      </c>
    </row>
    <row r="83" spans="21:32" x14ac:dyDescent="0.25">
      <c r="U83" t="s">
        <v>603</v>
      </c>
      <c r="V83">
        <v>55.32</v>
      </c>
      <c r="W83">
        <v>56.75</v>
      </c>
      <c r="X83">
        <v>60.46</v>
      </c>
      <c r="Y83">
        <v>60.77</v>
      </c>
      <c r="Z83">
        <v>57.12</v>
      </c>
      <c r="AA83">
        <v>58.66</v>
      </c>
      <c r="AB83">
        <v>57.4</v>
      </c>
      <c r="AC83">
        <v>52.51</v>
      </c>
      <c r="AD83">
        <v>51.34</v>
      </c>
      <c r="AE83">
        <v>49.39</v>
      </c>
      <c r="AF83">
        <v>49.39</v>
      </c>
    </row>
    <row r="84" spans="21:32" x14ac:dyDescent="0.25">
      <c r="U84" t="s">
        <v>604</v>
      </c>
      <c r="V84">
        <v>21.61</v>
      </c>
      <c r="W84">
        <v>21.39</v>
      </c>
      <c r="X84">
        <v>19.62</v>
      </c>
      <c r="Y84">
        <v>19.61</v>
      </c>
      <c r="Z84">
        <v>21.71</v>
      </c>
      <c r="AA84">
        <v>21.43</v>
      </c>
      <c r="AB84">
        <v>23.36</v>
      </c>
      <c r="AC84">
        <v>24.75</v>
      </c>
      <c r="AD84">
        <v>25.31</v>
      </c>
      <c r="AE84">
        <v>21.73</v>
      </c>
      <c r="AF84">
        <v>21.73</v>
      </c>
    </row>
    <row r="85" spans="21:32" x14ac:dyDescent="0.25">
      <c r="U85" t="s">
        <v>605</v>
      </c>
      <c r="V85">
        <v>6.87</v>
      </c>
      <c r="W85">
        <v>6.72</v>
      </c>
      <c r="X85">
        <v>5.66</v>
      </c>
      <c r="Y85">
        <v>4.8499999999999996</v>
      </c>
      <c r="Z85">
        <v>6.49</v>
      </c>
      <c r="AA85">
        <v>5.55</v>
      </c>
      <c r="AB85">
        <v>5.21</v>
      </c>
      <c r="AC85">
        <v>5.35</v>
      </c>
      <c r="AD85">
        <v>5.41</v>
      </c>
      <c r="AE85">
        <v>11.37</v>
      </c>
      <c r="AF85">
        <v>11.37</v>
      </c>
    </row>
    <row r="86" spans="21:32" x14ac:dyDescent="0.25">
      <c r="U86" t="s">
        <v>606</v>
      </c>
      <c r="V86">
        <v>16.2</v>
      </c>
      <c r="W86">
        <v>15.14</v>
      </c>
      <c r="X86">
        <v>14.26</v>
      </c>
      <c r="Y86">
        <v>14.77</v>
      </c>
      <c r="Z86">
        <v>14.69</v>
      </c>
      <c r="AA86">
        <v>14.36</v>
      </c>
      <c r="AB86">
        <v>14.03</v>
      </c>
      <c r="AC86">
        <v>17.39</v>
      </c>
      <c r="AD86">
        <v>17.93</v>
      </c>
      <c r="AE86">
        <v>17.510000000000002</v>
      </c>
      <c r="AF86">
        <v>17.510000000000002</v>
      </c>
    </row>
    <row r="87" spans="21:32" x14ac:dyDescent="0.25">
      <c r="U87" t="s">
        <v>6</v>
      </c>
      <c r="V87">
        <v>100</v>
      </c>
      <c r="W87">
        <v>100</v>
      </c>
      <c r="X87">
        <v>100</v>
      </c>
      <c r="Y87">
        <v>100</v>
      </c>
      <c r="Z87">
        <v>100</v>
      </c>
      <c r="AA87">
        <v>100</v>
      </c>
      <c r="AB87">
        <v>100</v>
      </c>
      <c r="AC87">
        <v>100</v>
      </c>
      <c r="AD87">
        <v>100</v>
      </c>
      <c r="AE87">
        <v>100</v>
      </c>
      <c r="AF87">
        <v>100</v>
      </c>
    </row>
    <row r="88" spans="21:32" x14ac:dyDescent="0.25">
      <c r="U88" t="s">
        <v>607</v>
      </c>
      <c r="V88">
        <v>11.84</v>
      </c>
      <c r="W88">
        <v>10.86</v>
      </c>
      <c r="X88">
        <v>13.09</v>
      </c>
      <c r="Y88">
        <v>13.25</v>
      </c>
      <c r="Z88">
        <v>10.67</v>
      </c>
      <c r="AA88">
        <v>10.57</v>
      </c>
      <c r="AB88">
        <v>11.92</v>
      </c>
      <c r="AC88">
        <v>11.27</v>
      </c>
      <c r="AD88">
        <v>12.35</v>
      </c>
      <c r="AE88">
        <v>14.27</v>
      </c>
      <c r="AF88">
        <v>14.27</v>
      </c>
    </row>
    <row r="89" spans="21:32" x14ac:dyDescent="0.25">
      <c r="U89" t="s">
        <v>608</v>
      </c>
      <c r="V89">
        <v>0.81</v>
      </c>
      <c r="W89">
        <v>0.42</v>
      </c>
      <c r="X89">
        <v>0.79</v>
      </c>
      <c r="Y89">
        <v>0.24</v>
      </c>
      <c r="Z89">
        <v>0.61</v>
      </c>
      <c r="AA89">
        <v>0.46</v>
      </c>
      <c r="AB89">
        <v>0.69</v>
      </c>
      <c r="AC89">
        <v>0.42</v>
      </c>
      <c r="AD89">
        <v>1.92</v>
      </c>
      <c r="AE89">
        <v>2.31</v>
      </c>
      <c r="AF89">
        <v>2.31</v>
      </c>
    </row>
    <row r="90" spans="21:32" x14ac:dyDescent="0.25">
      <c r="U90" t="s">
        <v>609</v>
      </c>
      <c r="W90">
        <v>1.07</v>
      </c>
      <c r="X90">
        <v>1.94</v>
      </c>
      <c r="Y90">
        <v>2.42</v>
      </c>
      <c r="Z90">
        <v>1.38</v>
      </c>
      <c r="AA90">
        <v>0.67</v>
      </c>
      <c r="AB90">
        <v>0.44</v>
      </c>
    </row>
    <row r="91" spans="21:32" x14ac:dyDescent="0.25">
      <c r="U91" t="s">
        <v>610</v>
      </c>
      <c r="V91">
        <v>18.32</v>
      </c>
      <c r="W91">
        <v>13.79</v>
      </c>
      <c r="X91">
        <v>13.77</v>
      </c>
      <c r="Y91">
        <v>13.65</v>
      </c>
      <c r="Z91">
        <v>10.62</v>
      </c>
      <c r="AA91">
        <v>6.78</v>
      </c>
      <c r="AB91">
        <v>9.89</v>
      </c>
      <c r="AC91">
        <v>10.78</v>
      </c>
      <c r="AD91">
        <v>11.42</v>
      </c>
      <c r="AE91">
        <v>12.06</v>
      </c>
      <c r="AF91">
        <v>12.06</v>
      </c>
    </row>
    <row r="92" spans="21:32" x14ac:dyDescent="0.25">
      <c r="U92" t="s">
        <v>611</v>
      </c>
      <c r="W92">
        <v>1.45</v>
      </c>
      <c r="X92">
        <v>1.75</v>
      </c>
      <c r="Y92">
        <v>1.78</v>
      </c>
      <c r="Z92">
        <v>1.71</v>
      </c>
      <c r="AA92">
        <v>4.38</v>
      </c>
      <c r="AB92">
        <v>2.54</v>
      </c>
      <c r="AC92">
        <v>2.66</v>
      </c>
      <c r="AD92">
        <v>3.12</v>
      </c>
      <c r="AE92">
        <v>2.77</v>
      </c>
      <c r="AF92">
        <v>2.77</v>
      </c>
    </row>
    <row r="93" spans="21:32" x14ac:dyDescent="0.25">
      <c r="U93" t="s">
        <v>612</v>
      </c>
      <c r="V93">
        <v>30.98</v>
      </c>
      <c r="W93">
        <v>27.59</v>
      </c>
      <c r="X93">
        <v>31.34</v>
      </c>
      <c r="Y93">
        <v>31.34</v>
      </c>
      <c r="Z93">
        <v>24.99</v>
      </c>
      <c r="AA93">
        <v>22.87</v>
      </c>
      <c r="AB93">
        <v>25.49</v>
      </c>
      <c r="AC93">
        <v>25.13</v>
      </c>
      <c r="AD93">
        <v>28.81</v>
      </c>
      <c r="AE93">
        <v>31.41</v>
      </c>
      <c r="AF93">
        <v>31.41</v>
      </c>
    </row>
    <row r="94" spans="21:32" x14ac:dyDescent="0.25">
      <c r="U94" t="s">
        <v>613</v>
      </c>
      <c r="V94">
        <v>7.38</v>
      </c>
      <c r="W94">
        <v>7.23</v>
      </c>
      <c r="X94">
        <v>6.82</v>
      </c>
      <c r="Y94">
        <v>5.64</v>
      </c>
      <c r="Z94">
        <v>5.56</v>
      </c>
      <c r="AA94">
        <v>11.35</v>
      </c>
      <c r="AB94">
        <v>10.07</v>
      </c>
      <c r="AC94">
        <v>10.41</v>
      </c>
      <c r="AD94">
        <v>10.45</v>
      </c>
      <c r="AE94">
        <v>8.7899999999999991</v>
      </c>
      <c r="AF94">
        <v>8.7899999999999991</v>
      </c>
    </row>
    <row r="95" spans="21:32" x14ac:dyDescent="0.25">
      <c r="U95" t="s">
        <v>614</v>
      </c>
      <c r="V95">
        <v>23.72</v>
      </c>
      <c r="W95">
        <v>22.39</v>
      </c>
      <c r="X95">
        <v>16.95</v>
      </c>
      <c r="Y95">
        <v>15.95</v>
      </c>
      <c r="Z95">
        <v>16.82</v>
      </c>
      <c r="AA95">
        <v>14.79</v>
      </c>
      <c r="AB95">
        <v>15.32</v>
      </c>
      <c r="AC95">
        <v>15.52</v>
      </c>
      <c r="AD95">
        <v>14.94</v>
      </c>
      <c r="AE95">
        <v>19.649999999999999</v>
      </c>
      <c r="AF95">
        <v>19.649999999999999</v>
      </c>
    </row>
    <row r="96" spans="21:32" x14ac:dyDescent="0.25">
      <c r="U96" t="s">
        <v>615</v>
      </c>
      <c r="V96">
        <v>62.08</v>
      </c>
      <c r="W96">
        <v>57.2</v>
      </c>
      <c r="X96">
        <v>55.1</v>
      </c>
      <c r="Y96">
        <v>52.93</v>
      </c>
      <c r="Z96">
        <v>47.38</v>
      </c>
      <c r="AA96">
        <v>49.01</v>
      </c>
      <c r="AB96">
        <v>50.88</v>
      </c>
      <c r="AC96">
        <v>51.06</v>
      </c>
      <c r="AD96">
        <v>54.2</v>
      </c>
      <c r="AE96">
        <v>59.84</v>
      </c>
      <c r="AF96">
        <v>59.84</v>
      </c>
    </row>
    <row r="97" spans="21:32" x14ac:dyDescent="0.25">
      <c r="U97" t="s">
        <v>616</v>
      </c>
      <c r="V97">
        <v>37.92</v>
      </c>
      <c r="W97">
        <v>42.8</v>
      </c>
      <c r="X97">
        <v>44.9</v>
      </c>
      <c r="Y97">
        <v>47.07</v>
      </c>
      <c r="Z97">
        <v>52.62</v>
      </c>
      <c r="AA97">
        <v>50.99</v>
      </c>
      <c r="AB97">
        <v>49.12</v>
      </c>
      <c r="AC97">
        <v>48.94</v>
      </c>
      <c r="AD97">
        <v>45.8</v>
      </c>
      <c r="AE97">
        <v>40.159999999999997</v>
      </c>
      <c r="AF97">
        <v>40.159999999999997</v>
      </c>
    </row>
    <row r="98" spans="21:32" x14ac:dyDescent="0.25">
      <c r="U98" t="s">
        <v>617</v>
      </c>
      <c r="V98">
        <v>100</v>
      </c>
      <c r="W98">
        <v>100</v>
      </c>
      <c r="X98">
        <v>100</v>
      </c>
      <c r="Y98">
        <v>100</v>
      </c>
      <c r="Z98">
        <v>100</v>
      </c>
      <c r="AA98">
        <v>100</v>
      </c>
      <c r="AB98">
        <v>100</v>
      </c>
      <c r="AC98">
        <v>100</v>
      </c>
      <c r="AD98">
        <v>100</v>
      </c>
      <c r="AE98">
        <v>100</v>
      </c>
      <c r="AF98">
        <v>100</v>
      </c>
    </row>
    <row r="100" spans="21:32" x14ac:dyDescent="0.25">
      <c r="U100" t="s">
        <v>618</v>
      </c>
      <c r="V100" t="s">
        <v>536</v>
      </c>
      <c r="W100" t="s">
        <v>537</v>
      </c>
      <c r="X100" t="s">
        <v>538</v>
      </c>
      <c r="Y100" t="s">
        <v>539</v>
      </c>
      <c r="Z100" t="s">
        <v>540</v>
      </c>
      <c r="AA100" t="s">
        <v>541</v>
      </c>
      <c r="AB100" t="s">
        <v>542</v>
      </c>
      <c r="AC100" t="s">
        <v>543</v>
      </c>
      <c r="AD100" t="s">
        <v>544</v>
      </c>
      <c r="AE100" t="s">
        <v>545</v>
      </c>
      <c r="AF100" t="s">
        <v>581</v>
      </c>
    </row>
    <row r="101" spans="21:32" x14ac:dyDescent="0.25">
      <c r="U101" t="s">
        <v>77</v>
      </c>
      <c r="V101">
        <v>1.79</v>
      </c>
      <c r="W101">
        <v>2.06</v>
      </c>
      <c r="X101">
        <v>1.93</v>
      </c>
      <c r="Y101">
        <v>1.94</v>
      </c>
      <c r="Z101">
        <v>2.29</v>
      </c>
      <c r="AA101">
        <v>2.56</v>
      </c>
      <c r="AB101">
        <v>2.25</v>
      </c>
      <c r="AC101">
        <v>2.09</v>
      </c>
      <c r="AD101">
        <v>1.78</v>
      </c>
      <c r="AE101">
        <v>1.57</v>
      </c>
      <c r="AF101">
        <v>1.57</v>
      </c>
    </row>
    <row r="102" spans="21:32" x14ac:dyDescent="0.25">
      <c r="U102" t="s">
        <v>78</v>
      </c>
      <c r="V102">
        <v>0.87</v>
      </c>
      <c r="W102">
        <v>1.28</v>
      </c>
      <c r="X102">
        <v>1.1100000000000001</v>
      </c>
      <c r="Y102">
        <v>1.17</v>
      </c>
      <c r="Z102">
        <v>1.3</v>
      </c>
      <c r="AA102">
        <v>1.63</v>
      </c>
      <c r="AB102">
        <v>1.33</v>
      </c>
      <c r="AC102">
        <v>1.22</v>
      </c>
      <c r="AD102">
        <v>1.02</v>
      </c>
      <c r="AE102">
        <v>0.91</v>
      </c>
      <c r="AF102">
        <v>0.91</v>
      </c>
    </row>
    <row r="103" spans="21:32" x14ac:dyDescent="0.25">
      <c r="U103" t="s">
        <v>619</v>
      </c>
      <c r="V103">
        <v>2.64</v>
      </c>
      <c r="W103">
        <v>2.34</v>
      </c>
      <c r="X103">
        <v>2.23</v>
      </c>
      <c r="Y103">
        <v>2.12</v>
      </c>
      <c r="Z103">
        <v>1.9</v>
      </c>
      <c r="AA103">
        <v>1.96</v>
      </c>
      <c r="AB103">
        <v>2.04</v>
      </c>
      <c r="AC103">
        <v>2.04</v>
      </c>
      <c r="AD103">
        <v>2.1800000000000002</v>
      </c>
      <c r="AE103">
        <v>2.4900000000000002</v>
      </c>
      <c r="AF103">
        <v>2.4900000000000002</v>
      </c>
    </row>
    <row r="104" spans="21:32" x14ac:dyDescent="0.25">
      <c r="U104" t="s">
        <v>620</v>
      </c>
      <c r="V104">
        <v>0.19</v>
      </c>
      <c r="W104">
        <v>0.17</v>
      </c>
      <c r="X104">
        <v>0.15</v>
      </c>
      <c r="Y104">
        <v>0.12</v>
      </c>
      <c r="Z104">
        <v>0.11</v>
      </c>
      <c r="AA104">
        <v>0.22</v>
      </c>
      <c r="AB104">
        <v>0.21</v>
      </c>
      <c r="AC104">
        <v>0.21</v>
      </c>
      <c r="AD104">
        <v>0.23</v>
      </c>
      <c r="AE104">
        <v>0.22</v>
      </c>
      <c r="AF104">
        <v>0.22</v>
      </c>
    </row>
    <row r="106" spans="21:32" x14ac:dyDescent="0.25">
      <c r="U106" t="s">
        <v>621</v>
      </c>
    </row>
    <row r="107" spans="21:32" x14ac:dyDescent="0.25">
      <c r="U107" t="s">
        <v>622</v>
      </c>
      <c r="V107" t="s">
        <v>536</v>
      </c>
      <c r="W107" t="s">
        <v>537</v>
      </c>
      <c r="X107" t="s">
        <v>538</v>
      </c>
      <c r="Y107" t="s">
        <v>539</v>
      </c>
      <c r="Z107" t="s">
        <v>540</v>
      </c>
      <c r="AA107" t="s">
        <v>541</v>
      </c>
      <c r="AB107" t="s">
        <v>542</v>
      </c>
      <c r="AC107" t="s">
        <v>543</v>
      </c>
      <c r="AD107" t="s">
        <v>544</v>
      </c>
      <c r="AE107" t="s">
        <v>545</v>
      </c>
      <c r="AF107" t="s">
        <v>546</v>
      </c>
    </row>
    <row r="108" spans="21:32" x14ac:dyDescent="0.25">
      <c r="U108" t="s">
        <v>89</v>
      </c>
      <c r="V108">
        <v>45.16</v>
      </c>
      <c r="W108">
        <v>55.44</v>
      </c>
      <c r="X108">
        <v>54.82</v>
      </c>
      <c r="Y108">
        <v>48.22</v>
      </c>
      <c r="Z108">
        <v>52.65</v>
      </c>
      <c r="AA108">
        <v>51.02</v>
      </c>
      <c r="AB108">
        <v>50.4</v>
      </c>
      <c r="AC108">
        <v>55.07</v>
      </c>
      <c r="AD108">
        <v>60.92</v>
      </c>
      <c r="AE108">
        <v>59.35</v>
      </c>
      <c r="AF108">
        <v>59.35</v>
      </c>
    </row>
    <row r="109" spans="21:32" x14ac:dyDescent="0.25">
      <c r="U109" t="s">
        <v>623</v>
      </c>
      <c r="V109">
        <v>55.62</v>
      </c>
      <c r="W109">
        <v>66.06</v>
      </c>
      <c r="X109">
        <v>60.2</v>
      </c>
      <c r="Y109">
        <v>55.84</v>
      </c>
      <c r="Z109">
        <v>62.07</v>
      </c>
      <c r="AA109">
        <v>65.02</v>
      </c>
      <c r="AB109">
        <v>66.680000000000007</v>
      </c>
      <c r="AC109">
        <v>71.81</v>
      </c>
      <c r="AD109">
        <v>75.23</v>
      </c>
      <c r="AE109">
        <v>69.5</v>
      </c>
      <c r="AF109">
        <v>69.5</v>
      </c>
    </row>
    <row r="110" spans="21:32" x14ac:dyDescent="0.25">
      <c r="U110" t="s">
        <v>624</v>
      </c>
      <c r="V110">
        <v>36.369999999999997</v>
      </c>
      <c r="W110">
        <v>41.57</v>
      </c>
      <c r="X110">
        <v>42.08</v>
      </c>
      <c r="Y110">
        <v>39.43</v>
      </c>
      <c r="Z110">
        <v>41.05</v>
      </c>
      <c r="AA110">
        <v>40.909999999999997</v>
      </c>
      <c r="AB110">
        <v>43.69</v>
      </c>
      <c r="AC110">
        <v>46.22</v>
      </c>
      <c r="AD110">
        <v>49.76</v>
      </c>
      <c r="AE110">
        <v>52.75</v>
      </c>
      <c r="AF110">
        <v>52.75</v>
      </c>
    </row>
    <row r="111" spans="21:32" x14ac:dyDescent="0.25">
      <c r="U111" t="s">
        <v>625</v>
      </c>
      <c r="V111">
        <v>64.42</v>
      </c>
      <c r="W111">
        <v>79.930000000000007</v>
      </c>
      <c r="X111">
        <v>72.95</v>
      </c>
      <c r="Y111">
        <v>64.63</v>
      </c>
      <c r="Z111">
        <v>73.67</v>
      </c>
      <c r="AA111">
        <v>75.12</v>
      </c>
      <c r="AB111">
        <v>73.39</v>
      </c>
      <c r="AC111">
        <v>80.66</v>
      </c>
      <c r="AD111">
        <v>86.39</v>
      </c>
      <c r="AE111">
        <v>76.099999999999994</v>
      </c>
      <c r="AF111">
        <v>76.099999999999994</v>
      </c>
    </row>
    <row r="112" spans="21:32" x14ac:dyDescent="0.25">
      <c r="U112" t="s">
        <v>626</v>
      </c>
      <c r="V112">
        <v>8.08</v>
      </c>
      <c r="W112">
        <v>6.58</v>
      </c>
      <c r="X112">
        <v>6.66</v>
      </c>
      <c r="Y112">
        <v>7.57</v>
      </c>
      <c r="Z112">
        <v>6.93</v>
      </c>
      <c r="AA112">
        <v>7.15</v>
      </c>
      <c r="AB112">
        <v>7.24</v>
      </c>
      <c r="AC112">
        <v>6.63</v>
      </c>
      <c r="AD112">
        <v>5.99</v>
      </c>
      <c r="AE112">
        <v>6.15</v>
      </c>
      <c r="AF112">
        <v>6.15</v>
      </c>
    </row>
    <row r="113" spans="21:32" x14ac:dyDescent="0.25">
      <c r="U113" t="s">
        <v>627</v>
      </c>
      <c r="V113">
        <v>6.56</v>
      </c>
      <c r="W113">
        <v>5.53</v>
      </c>
      <c r="X113">
        <v>6.06</v>
      </c>
      <c r="Y113">
        <v>6.54</v>
      </c>
      <c r="Z113">
        <v>5.88</v>
      </c>
      <c r="AA113">
        <v>5.61</v>
      </c>
      <c r="AB113">
        <v>5.47</v>
      </c>
      <c r="AC113">
        <v>5.08</v>
      </c>
      <c r="AD113">
        <v>4.8499999999999996</v>
      </c>
      <c r="AE113">
        <v>5.25</v>
      </c>
      <c r="AF113">
        <v>5.25</v>
      </c>
    </row>
    <row r="114" spans="21:32" x14ac:dyDescent="0.25">
      <c r="U114" t="s">
        <v>628</v>
      </c>
      <c r="V114">
        <v>8.23</v>
      </c>
      <c r="W114">
        <v>5.8</v>
      </c>
      <c r="X114">
        <v>6.74</v>
      </c>
      <c r="Y114">
        <v>8.34</v>
      </c>
      <c r="Z114">
        <v>6.91</v>
      </c>
      <c r="AA114">
        <v>5.88</v>
      </c>
      <c r="AB114">
        <v>5.62</v>
      </c>
      <c r="AC114">
        <v>5.14</v>
      </c>
      <c r="AD114">
        <v>4.6399999999999997</v>
      </c>
      <c r="AE114">
        <v>5.29</v>
      </c>
      <c r="AF114">
        <v>5.29</v>
      </c>
    </row>
    <row r="115" spans="21:32" x14ac:dyDescent="0.25">
      <c r="U115" t="s">
        <v>629</v>
      </c>
      <c r="V115">
        <v>1.72</v>
      </c>
      <c r="W115">
        <v>1.24</v>
      </c>
      <c r="X115">
        <v>1.38</v>
      </c>
      <c r="Y115">
        <v>1.64</v>
      </c>
      <c r="Z115">
        <v>1.43</v>
      </c>
      <c r="AA115">
        <v>1.27</v>
      </c>
      <c r="AB115">
        <v>1.26</v>
      </c>
      <c r="AC115">
        <v>1.24</v>
      </c>
      <c r="AD115">
        <v>1.1599999999999999</v>
      </c>
      <c r="AE115">
        <v>1.23</v>
      </c>
      <c r="AF115">
        <v>1.23</v>
      </c>
    </row>
  </sheetData>
  <mergeCells count="3">
    <mergeCell ref="B16:I16"/>
    <mergeCell ref="B34:I34"/>
    <mergeCell ref="B4:I4"/>
  </mergeCell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DEB95-7E70-4A57-963F-8A7A98BD86D1}">
  <sheetPr codeName="Sheet5">
    <tabColor theme="5" tint="0.39997558519241921"/>
  </sheetPr>
  <dimension ref="B4:O42"/>
  <sheetViews>
    <sheetView workbookViewId="0"/>
  </sheetViews>
  <sheetFormatPr defaultRowHeight="15" x14ac:dyDescent="0.25"/>
  <cols>
    <col min="2" max="2" width="32.5703125" bestFit="1" customWidth="1"/>
  </cols>
  <sheetData>
    <row r="4" spans="2:15" x14ac:dyDescent="0.25">
      <c r="B4" t="s">
        <v>375</v>
      </c>
    </row>
    <row r="5" spans="2:15" x14ac:dyDescent="0.25">
      <c r="B5" t="s">
        <v>282</v>
      </c>
      <c r="C5" s="209">
        <v>2020</v>
      </c>
      <c r="D5" s="209">
        <v>2019</v>
      </c>
      <c r="E5" s="209">
        <v>2018</v>
      </c>
      <c r="F5" s="209">
        <v>2017</v>
      </c>
      <c r="G5" s="209">
        <v>2016</v>
      </c>
    </row>
    <row r="6" spans="2:15" x14ac:dyDescent="0.25">
      <c r="B6" t="s">
        <v>376</v>
      </c>
      <c r="C6" s="216">
        <f>'Balance Sheet (Y)'!E3-'Balance Sheet (Y)'!E57</f>
        <v>2708.7549159679165</v>
      </c>
      <c r="D6" s="216">
        <f>'Balance Sheet (Y)'!F3-'Balance Sheet (Y)'!F57</f>
        <v>2968.5432328812512</v>
      </c>
      <c r="E6" s="216">
        <f>'Balance Sheet (Y)'!G3-'Balance Sheet (Y)'!G57</f>
        <v>3205.3661247933078</v>
      </c>
      <c r="F6" s="216">
        <f>'Balance Sheet (Y)'!H3-'Balance Sheet (Y)'!H57</f>
        <v>3251</v>
      </c>
      <c r="G6" s="216">
        <f>'Balance Sheet (Y)'!I3-'Balance Sheet (Y)'!I57</f>
        <v>3382</v>
      </c>
    </row>
    <row r="7" spans="2:15" x14ac:dyDescent="0.25">
      <c r="B7" t="s">
        <v>377</v>
      </c>
      <c r="C7" s="290">
        <f>'Balance Sheet (Y)'!E3/'Balance Sheet (Y)'!E57</f>
        <v>1.3628081846696471</v>
      </c>
      <c r="D7" s="290">
        <f>'Balance Sheet (Y)'!F3/'Balance Sheet (Y)'!F57</f>
        <v>1.4372390348943886</v>
      </c>
      <c r="E7" s="216">
        <f>'Balance Sheet (Y)'!G3/'Balance Sheet (Y)'!G57</f>
        <v>1.5213876009174192</v>
      </c>
      <c r="F7" s="216">
        <f>'Balance Sheet (Y)'!H3/'Balance Sheet (Y)'!H57</f>
        <v>1.5726616170512595</v>
      </c>
      <c r="G7" s="216">
        <f>'Balance Sheet (Y)'!I3/'Balance Sheet (Y)'!I57</f>
        <v>1.7819653179190751</v>
      </c>
    </row>
    <row r="8" spans="2:15" x14ac:dyDescent="0.25">
      <c r="B8" t="s">
        <v>378</v>
      </c>
      <c r="C8" s="216">
        <f>'Balance Sheet (Y)'!E12</f>
        <v>4311.701974567005</v>
      </c>
      <c r="D8" s="216">
        <f>'Balance Sheet (Y)'!F12</f>
        <v>4050.0188399918716</v>
      </c>
      <c r="E8" s="216">
        <f>'Balance Sheet (Y)'!G12</f>
        <v>3804.2176154664107</v>
      </c>
      <c r="F8" s="216">
        <f>'Balance Sheet (Y)'!H12</f>
        <v>3618</v>
      </c>
      <c r="G8" s="216">
        <f>'Balance Sheet (Y)'!I12</f>
        <v>3025</v>
      </c>
      <c r="O8" s="11"/>
    </row>
    <row r="9" spans="2:15" x14ac:dyDescent="0.25">
      <c r="B9" t="s">
        <v>717</v>
      </c>
      <c r="C9" s="216">
        <f>C8/('Income Statement (Y)'!E2/365)</f>
        <v>72.516169359105788</v>
      </c>
      <c r="D9" s="216">
        <f>D8/('Income Statement (Y)'!F2/365)</f>
        <v>69.739512433450685</v>
      </c>
      <c r="E9" s="216">
        <f>E8/('Income Statement (Y)'!G2/365)</f>
        <v>67.06271227898543</v>
      </c>
      <c r="F9" s="216">
        <v>59</v>
      </c>
      <c r="G9" s="216">
        <v>61</v>
      </c>
      <c r="K9" s="299"/>
      <c r="L9" s="299"/>
    </row>
    <row r="10" spans="2:15" x14ac:dyDescent="0.25">
      <c r="B10" t="s">
        <v>68</v>
      </c>
      <c r="C10" s="216">
        <f>'Balance Sheet (Y)'!E15</f>
        <v>2963.3000000000029</v>
      </c>
      <c r="D10" s="216">
        <f>'Balance Sheet (Y)'!F15</f>
        <v>2938.9000000000015</v>
      </c>
      <c r="E10" s="216">
        <f>'Balance Sheet (Y)'!G15</f>
        <v>2914.5</v>
      </c>
      <c r="F10" s="216">
        <f>'Balance Sheet (Y)'!H15</f>
        <v>3166</v>
      </c>
      <c r="G10" s="216">
        <f>'Balance Sheet (Y)'!I15</f>
        <v>2675</v>
      </c>
      <c r="H10" s="216">
        <f>'Balance Sheet (Y)'!J15</f>
        <v>2707</v>
      </c>
      <c r="J10" s="299"/>
      <c r="K10" s="299"/>
      <c r="L10" s="299"/>
    </row>
    <row r="11" spans="2:15" x14ac:dyDescent="0.25">
      <c r="B11" t="s">
        <v>379</v>
      </c>
      <c r="C11" s="243">
        <f>'Income Statement (Y)'!E3/AVERAGE(C10:D10)</f>
        <v>5.5088368123125591</v>
      </c>
      <c r="D11" s="243">
        <f>'Income Statement (Y)'!F3/AVERAGE(D10:E10)</f>
        <v>5.388570607714195</v>
      </c>
      <c r="E11" s="243">
        <f>'Income Statement (Y)'!G3/AVERAGE(E10:F10)</f>
        <v>4.9316665075198305</v>
      </c>
      <c r="F11" s="243">
        <f>'Income Statement (Y)'!H3/AVERAGE(F10:G10)</f>
        <v>5.2518404382811159</v>
      </c>
      <c r="G11" s="243">
        <f>'Income Statement (Y)'!I3/AVERAGE(G10:H10)</f>
        <v>4.8520995912300258</v>
      </c>
    </row>
    <row r="12" spans="2:15" x14ac:dyDescent="0.25">
      <c r="B12" t="s">
        <v>380</v>
      </c>
      <c r="C12" s="216">
        <f>'Balance Sheet (Y)'!E58</f>
        <v>3536.0132908027658</v>
      </c>
      <c r="D12" s="216">
        <f>'Balance Sheet (Y)'!F58</f>
        <v>3182.9247642740243</v>
      </c>
      <c r="E12" s="216">
        <f>'Balance Sheet (Y)'!G58</f>
        <v>2865.0938845110659</v>
      </c>
      <c r="F12" s="216">
        <f>'Balance Sheet (Y)'!H58</f>
        <v>2579</v>
      </c>
      <c r="G12" s="216">
        <f>'Balance Sheet (Y)'!I58</f>
        <v>1854</v>
      </c>
    </row>
    <row r="13" spans="2:15" x14ac:dyDescent="0.25">
      <c r="B13" t="s">
        <v>381</v>
      </c>
      <c r="C13" s="281"/>
      <c r="D13" s="281"/>
      <c r="E13" s="216"/>
      <c r="F13" s="216">
        <v>53</v>
      </c>
      <c r="G13" s="216">
        <v>51</v>
      </c>
    </row>
    <row r="14" spans="2:15" x14ac:dyDescent="0.25">
      <c r="B14" t="s">
        <v>382</v>
      </c>
      <c r="C14" s="216">
        <f>'Balance Sheet (Y)'!E59+'Balance Sheet (Y)'!E60+'Balance Sheet (Y)'!E69</f>
        <v>2313.7805934972162</v>
      </c>
      <c r="D14" s="216">
        <f>'Balance Sheet (Y)'!F59+'Balance Sheet (Y)'!F60+'Balance Sheet (Y)'!F69</f>
        <v>1921.6651273585774</v>
      </c>
      <c r="E14" s="216">
        <f>'Balance Sheet (Y)'!G59+'Balance Sheet (Y)'!G60+'Balance Sheet (Y)'!G69</f>
        <v>1813.8936217626067</v>
      </c>
      <c r="F14" s="216">
        <f>'Balance Sheet (Y)'!H59+'Balance Sheet (Y)'!H60+'Balance Sheet (Y)'!H69</f>
        <v>2006</v>
      </c>
      <c r="G14" s="216">
        <f>'Balance Sheet (Y)'!I59+'Balance Sheet (Y)'!I60+'Balance Sheet (Y)'!I69</f>
        <v>1856</v>
      </c>
    </row>
    <row r="15" spans="2:15" x14ac:dyDescent="0.25">
      <c r="B15" t="s">
        <v>383</v>
      </c>
      <c r="C15" s="281"/>
      <c r="D15" s="281"/>
      <c r="E15" s="216"/>
      <c r="F15" s="216">
        <v>0.19700000000000001</v>
      </c>
      <c r="G15" s="216">
        <v>0.20599999999999999</v>
      </c>
    </row>
    <row r="16" spans="2:15" x14ac:dyDescent="0.25">
      <c r="E16" s="300"/>
      <c r="F16" s="300">
        <f>F14/F15</f>
        <v>10182.741116751269</v>
      </c>
      <c r="G16" s="300">
        <f>G14/G15</f>
        <v>9009.708737864079</v>
      </c>
    </row>
    <row r="18" spans="2:8" x14ac:dyDescent="0.25">
      <c r="C18">
        <f>F6-G6</f>
        <v>-131</v>
      </c>
    </row>
    <row r="20" spans="2:8" x14ac:dyDescent="0.25">
      <c r="B20" t="s">
        <v>964</v>
      </c>
    </row>
    <row r="21" spans="2:8" x14ac:dyDescent="0.25">
      <c r="B21" t="s">
        <v>282</v>
      </c>
      <c r="C21" t="s">
        <v>298</v>
      </c>
    </row>
    <row r="22" spans="2:8" x14ac:dyDescent="0.25">
      <c r="B22" t="s">
        <v>295</v>
      </c>
      <c r="C22">
        <v>2017</v>
      </c>
      <c r="D22">
        <v>2016</v>
      </c>
      <c r="E22">
        <v>2015</v>
      </c>
      <c r="F22">
        <v>2014</v>
      </c>
      <c r="G22">
        <v>2013</v>
      </c>
    </row>
    <row r="23" spans="2:8" x14ac:dyDescent="0.25">
      <c r="B23" s="1" t="s">
        <v>948</v>
      </c>
      <c r="D23" t="s">
        <v>282</v>
      </c>
      <c r="E23" t="s">
        <v>282</v>
      </c>
      <c r="F23" t="s">
        <v>282</v>
      </c>
      <c r="G23" t="s">
        <v>282</v>
      </c>
    </row>
    <row r="24" spans="2:8" x14ac:dyDescent="0.25">
      <c r="B24" t="s">
        <v>949</v>
      </c>
      <c r="C24">
        <v>2365</v>
      </c>
      <c r="D24">
        <v>1930</v>
      </c>
      <c r="E24">
        <v>2025</v>
      </c>
      <c r="F24">
        <v>2434</v>
      </c>
      <c r="G24">
        <v>2119</v>
      </c>
      <c r="H24" t="s">
        <v>282</v>
      </c>
    </row>
    <row r="25" spans="2:8" x14ac:dyDescent="0.25">
      <c r="B25" t="s">
        <v>950</v>
      </c>
      <c r="D25" t="s">
        <v>282</v>
      </c>
      <c r="E25" t="s">
        <v>282</v>
      </c>
      <c r="F25" t="s">
        <v>282</v>
      </c>
      <c r="G25" t="s">
        <v>282</v>
      </c>
    </row>
    <row r="26" spans="2:8" x14ac:dyDescent="0.25">
      <c r="B26" s="9" t="s">
        <v>951</v>
      </c>
      <c r="C26">
        <v>160</v>
      </c>
      <c r="D26">
        <v>148</v>
      </c>
      <c r="E26">
        <v>140</v>
      </c>
      <c r="F26">
        <v>138</v>
      </c>
      <c r="G26">
        <v>112</v>
      </c>
      <c r="H26" t="s">
        <v>282</v>
      </c>
    </row>
    <row r="27" spans="2:8" x14ac:dyDescent="0.25">
      <c r="B27" s="9" t="s">
        <v>952</v>
      </c>
      <c r="C27">
        <v>1</v>
      </c>
      <c r="D27">
        <v>2</v>
      </c>
      <c r="E27">
        <v>2</v>
      </c>
      <c r="F27">
        <v>1</v>
      </c>
      <c r="G27">
        <v>1</v>
      </c>
      <c r="H27" t="s">
        <v>282</v>
      </c>
    </row>
    <row r="28" spans="2:8" x14ac:dyDescent="0.25">
      <c r="B28" s="9" t="s">
        <v>953</v>
      </c>
      <c r="C28">
        <v>219</v>
      </c>
      <c r="D28">
        <v>212</v>
      </c>
      <c r="E28">
        <v>248</v>
      </c>
      <c r="F28">
        <v>228</v>
      </c>
      <c r="G28">
        <v>271</v>
      </c>
      <c r="H28" t="s">
        <v>282</v>
      </c>
    </row>
    <row r="29" spans="2:8" x14ac:dyDescent="0.25">
      <c r="B29" t="s">
        <v>954</v>
      </c>
      <c r="C29" t="s">
        <v>282</v>
      </c>
      <c r="D29" t="s">
        <v>282</v>
      </c>
      <c r="E29" t="s">
        <v>282</v>
      </c>
      <c r="F29" t="s">
        <v>282</v>
      </c>
      <c r="G29" t="s">
        <v>282</v>
      </c>
    </row>
    <row r="30" spans="2:8" x14ac:dyDescent="0.25">
      <c r="B30" s="9" t="s">
        <v>955</v>
      </c>
      <c r="C30">
        <v>308</v>
      </c>
      <c r="D30">
        <v>260</v>
      </c>
      <c r="E30">
        <v>273</v>
      </c>
      <c r="F30">
        <v>330</v>
      </c>
      <c r="G30">
        <v>325</v>
      </c>
      <c r="H30" t="s">
        <v>282</v>
      </c>
    </row>
    <row r="31" spans="2:8" x14ac:dyDescent="0.25">
      <c r="B31" s="9" t="s">
        <v>956</v>
      </c>
      <c r="C31">
        <v>4</v>
      </c>
      <c r="D31">
        <v>6</v>
      </c>
      <c r="E31">
        <v>3</v>
      </c>
      <c r="F31">
        <v>7</v>
      </c>
      <c r="G31">
        <v>7</v>
      </c>
      <c r="H31" t="s">
        <v>282</v>
      </c>
    </row>
    <row r="32" spans="2:8" x14ac:dyDescent="0.25">
      <c r="B32" s="9" t="s">
        <v>963</v>
      </c>
      <c r="C32">
        <v>-3</v>
      </c>
      <c r="D32">
        <v>0</v>
      </c>
      <c r="E32">
        <v>0</v>
      </c>
      <c r="F32">
        <v>0</v>
      </c>
      <c r="G32">
        <v>0</v>
      </c>
      <c r="H32" t="s">
        <v>282</v>
      </c>
    </row>
    <row r="33" spans="2:8" x14ac:dyDescent="0.25">
      <c r="B33" t="s">
        <v>957</v>
      </c>
      <c r="C33">
        <v>2436</v>
      </c>
      <c r="D33">
        <v>2026</v>
      </c>
      <c r="E33">
        <v>2139</v>
      </c>
      <c r="F33">
        <v>2464</v>
      </c>
      <c r="G33">
        <v>2171</v>
      </c>
      <c r="H33" t="s">
        <v>282</v>
      </c>
    </row>
    <row r="34" spans="2:8" x14ac:dyDescent="0.25">
      <c r="B34" t="s">
        <v>282</v>
      </c>
      <c r="C34" t="s">
        <v>282</v>
      </c>
      <c r="D34" t="s">
        <v>282</v>
      </c>
      <c r="E34" t="s">
        <v>282</v>
      </c>
      <c r="F34" t="s">
        <v>282</v>
      </c>
      <c r="G34" t="s">
        <v>282</v>
      </c>
    </row>
    <row r="35" spans="2:8" x14ac:dyDescent="0.25">
      <c r="B35" s="1" t="s">
        <v>951</v>
      </c>
      <c r="C35" t="s">
        <v>282</v>
      </c>
      <c r="D35" t="s">
        <v>282</v>
      </c>
      <c r="E35" t="s">
        <v>282</v>
      </c>
      <c r="F35" t="s">
        <v>282</v>
      </c>
      <c r="G35" t="s">
        <v>282</v>
      </c>
    </row>
    <row r="36" spans="2:8" x14ac:dyDescent="0.25">
      <c r="B36" s="9" t="s">
        <v>958</v>
      </c>
      <c r="C36">
        <v>81</v>
      </c>
      <c r="D36">
        <v>69</v>
      </c>
      <c r="E36">
        <v>65</v>
      </c>
      <c r="F36">
        <v>64</v>
      </c>
      <c r="G36">
        <v>41</v>
      </c>
      <c r="H36" t="s">
        <v>282</v>
      </c>
    </row>
    <row r="37" spans="2:8" x14ac:dyDescent="0.25">
      <c r="B37" s="9" t="s">
        <v>956</v>
      </c>
      <c r="C37">
        <v>4</v>
      </c>
      <c r="D37">
        <v>6</v>
      </c>
      <c r="E37">
        <v>3</v>
      </c>
      <c r="F37">
        <v>7</v>
      </c>
      <c r="G37">
        <v>7</v>
      </c>
      <c r="H37" t="s">
        <v>282</v>
      </c>
    </row>
    <row r="38" spans="2:8" x14ac:dyDescent="0.25">
      <c r="B38" s="9" t="s">
        <v>962</v>
      </c>
      <c r="C38">
        <v>3</v>
      </c>
      <c r="D38">
        <v>3</v>
      </c>
      <c r="E38">
        <v>3</v>
      </c>
      <c r="F38">
        <v>3</v>
      </c>
      <c r="G38">
        <v>2</v>
      </c>
      <c r="H38" t="s">
        <v>282</v>
      </c>
    </row>
    <row r="39" spans="2:8" x14ac:dyDescent="0.25">
      <c r="B39" s="9" t="s">
        <v>959</v>
      </c>
      <c r="C39">
        <v>72</v>
      </c>
      <c r="D39">
        <v>70</v>
      </c>
      <c r="E39">
        <v>69</v>
      </c>
      <c r="F39">
        <v>64</v>
      </c>
      <c r="G39">
        <v>62</v>
      </c>
      <c r="H39" t="s">
        <v>282</v>
      </c>
    </row>
    <row r="40" spans="2:8" x14ac:dyDescent="0.25">
      <c r="B40" t="s">
        <v>960</v>
      </c>
      <c r="C40">
        <v>160</v>
      </c>
      <c r="D40">
        <v>148</v>
      </c>
      <c r="E40">
        <v>140</v>
      </c>
      <c r="F40">
        <v>138</v>
      </c>
      <c r="G40">
        <v>112</v>
      </c>
      <c r="H40" t="s">
        <v>282</v>
      </c>
    </row>
    <row r="41" spans="2:8" x14ac:dyDescent="0.25">
      <c r="B41" t="s">
        <v>282</v>
      </c>
      <c r="C41" t="s">
        <v>282</v>
      </c>
      <c r="D41" t="s">
        <v>282</v>
      </c>
      <c r="E41" t="s">
        <v>282</v>
      </c>
      <c r="F41" t="s">
        <v>282</v>
      </c>
      <c r="G41" t="s">
        <v>282</v>
      </c>
    </row>
    <row r="42" spans="2:8" x14ac:dyDescent="0.25">
      <c r="B42" t="s">
        <v>961</v>
      </c>
      <c r="C42" s="243">
        <f>C33/C40</f>
        <v>15.225</v>
      </c>
      <c r="D42" s="243">
        <f t="shared" ref="D42:G42" si="0">D33/D40</f>
        <v>13.689189189189189</v>
      </c>
      <c r="E42" s="243">
        <f t="shared" si="0"/>
        <v>15.278571428571428</v>
      </c>
      <c r="F42" s="243">
        <f t="shared" si="0"/>
        <v>17.855072463768117</v>
      </c>
      <c r="G42" s="243">
        <f t="shared" si="0"/>
        <v>19.383928571428573</v>
      </c>
      <c r="H42" t="s">
        <v>282</v>
      </c>
    </row>
  </sheetData>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3</vt:i4>
      </vt:variant>
    </vt:vector>
  </HeadingPairs>
  <TitlesOfParts>
    <vt:vector size="34" baseType="lpstr">
      <vt:lpstr>Table of Contents</vt:lpstr>
      <vt:lpstr>Reporting Data</vt:lpstr>
      <vt:lpstr>GR&amp;A</vt:lpstr>
      <vt:lpstr>Predictions</vt:lpstr>
      <vt:lpstr>Valuation</vt:lpstr>
      <vt:lpstr>Income Statement (Y)</vt:lpstr>
      <vt:lpstr>Balance Sheet (Y)</vt:lpstr>
      <vt:lpstr>Cash Flow (Y)</vt:lpstr>
      <vt:lpstr>Equity (Y)</vt:lpstr>
      <vt:lpstr>Segment Earnings</vt:lpstr>
      <vt:lpstr>Unit Sales</vt:lpstr>
      <vt:lpstr>Financing</vt:lpstr>
      <vt:lpstr>Misc data</vt:lpstr>
      <vt:lpstr>N2 Income Tax</vt:lpstr>
      <vt:lpstr>N3 Equity Investments</vt:lpstr>
      <vt:lpstr>N4 Mkt Securities</vt:lpstr>
      <vt:lpstr>N8 Warranties</vt:lpstr>
      <vt:lpstr>N7 Goodwill</vt:lpstr>
      <vt:lpstr>N9 Debt</vt:lpstr>
      <vt:lpstr>N10 Pension</vt:lpstr>
      <vt:lpstr>N1 O. Liab. and def Rev</vt:lpstr>
      <vt:lpstr>N13 Sh Eq</vt:lpstr>
      <vt:lpstr>N14 OCI</vt:lpstr>
      <vt:lpstr>N15 Stock</vt:lpstr>
      <vt:lpstr>N17 EPS</vt:lpstr>
      <vt:lpstr>N21 Op Segs</vt:lpstr>
      <vt:lpstr>N18 Acquisitions</vt:lpstr>
      <vt:lpstr>Additional Commentary</vt:lpstr>
      <vt:lpstr>Analyst Coverage</vt:lpstr>
      <vt:lpstr>Ratios</vt:lpstr>
      <vt:lpstr>10k Key Ratios</vt:lpstr>
      <vt:lpstr>Scen_Customers</vt:lpstr>
      <vt:lpstr>Scen_EngSegSales</vt:lpstr>
      <vt:lpstr>Scen_ExRates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Conor Barry-Hoke</cp:lastModifiedBy>
  <dcterms:created xsi:type="dcterms:W3CDTF">2015-06-05T18:17:20Z</dcterms:created>
  <dcterms:modified xsi:type="dcterms:W3CDTF">2018-12-12T21:46:22Z</dcterms:modified>
</cp:coreProperties>
</file>